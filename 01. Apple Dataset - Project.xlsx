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8880" activeTab="3"/>
  </bookViews>
  <sheets>
    <sheet name="Data" sheetId="1" r:id="rId1"/>
    <sheet name="Working Sheet" sheetId="2" r:id="rId2"/>
    <sheet name="Pivot Table" sheetId="3" r:id="rId3"/>
    <sheet name="Dashboard" sheetId="4" r:id="rId4"/>
  </sheets>
  <definedNames>
    <definedName name="Slicer_Month">#N/A</definedName>
    <definedName name="Slicer_Sales_Method">#N/A</definedName>
    <definedName name="Slicer_Product">#N/A</definedName>
    <definedName name="Slicer_Region">#N/A</definedName>
    <definedName name="_xlnm._FilterDatabase" localSheetId="1" hidden="1">'Working Sheet'!$A$1:$M$200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<sst xmlns="http://schemas.openxmlformats.org/spreadsheetml/2006/main" count="1263" uniqueCount="45">
  <si>
    <t>ID Number</t>
  </si>
  <si>
    <t>Date</t>
  </si>
  <si>
    <t>Product</t>
  </si>
  <si>
    <t>Region</t>
  </si>
  <si>
    <t>Sales Method</t>
  </si>
  <si>
    <t>Price Per Unit</t>
  </si>
  <si>
    <t>Cost Per Unit</t>
  </si>
  <si>
    <t>Quantity</t>
  </si>
  <si>
    <t>Revenues</t>
  </si>
  <si>
    <t>Expenses</t>
  </si>
  <si>
    <t>Profit</t>
  </si>
  <si>
    <t>Expense/Revenue Ratio</t>
  </si>
  <si>
    <t>iphone</t>
  </si>
  <si>
    <t>EMEA</t>
  </si>
  <si>
    <t>In-store</t>
  </si>
  <si>
    <t>North America</t>
  </si>
  <si>
    <t>Third Party</t>
  </si>
  <si>
    <t>macbook</t>
  </si>
  <si>
    <t>APAC</t>
  </si>
  <si>
    <t>Online Store</t>
  </si>
  <si>
    <t>ipad</t>
  </si>
  <si>
    <t>South America</t>
  </si>
  <si>
    <t>Referral</t>
  </si>
  <si>
    <t>iwatch</t>
  </si>
  <si>
    <t>airpod</t>
  </si>
  <si>
    <t>Month</t>
  </si>
  <si>
    <t>Sum of Quantity</t>
  </si>
  <si>
    <t>Sum of Revenues</t>
  </si>
  <si>
    <t>Sum of Expenses</t>
  </si>
  <si>
    <t>Sum of Profit</t>
  </si>
  <si>
    <t>Average of Expense/Revenue Ratio</t>
  </si>
  <si>
    <t>Dec</t>
  </si>
  <si>
    <t>Apr</t>
  </si>
  <si>
    <t>Jun</t>
  </si>
  <si>
    <t>Feb</t>
  </si>
  <si>
    <t>Mar</t>
  </si>
  <si>
    <t>Sep</t>
  </si>
  <si>
    <t>Jul</t>
  </si>
  <si>
    <t>May</t>
  </si>
  <si>
    <t>Jan</t>
  </si>
  <si>
    <t>Nov</t>
  </si>
  <si>
    <t>Oct</t>
  </si>
  <si>
    <t>Aug</t>
  </si>
  <si>
    <t>Grand Total</t>
  </si>
  <si>
    <t>Apple Data 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</si>
</sst>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m/d/yyyy;@"/>
    <numFmt numFmtId="179" formatCode="0.00_);[Red]\(0.00\)"/>
    <numFmt numFmtId="180" formatCode="_-* #,##0_-;\-* #,##0_-;_-* &quot;-&quot;??_-;_-@_-"/>
    <numFmt numFmtId="181" formatCode="#,##0;\(#,##0\)"/>
  </numFmts>
  <fonts count="27">
    <font>
      <sz val="12"/>
      <color theme="1"/>
      <name val="Calibri"/>
      <charset val="134"/>
      <scheme val="minor"/>
    </font>
    <font>
      <sz val="36"/>
      <color theme="1"/>
      <name val="Arial Rounded MT Bold"/>
      <charset val="134"/>
    </font>
    <font>
      <sz val="36"/>
      <color theme="4"/>
      <name val="Arial Rounded MT Bold"/>
      <charset val="134"/>
    </font>
    <font>
      <sz val="14"/>
      <color theme="1"/>
      <name val="Arial Rounded MT Bold"/>
      <charset val="134"/>
    </font>
    <font>
      <b/>
      <sz val="12"/>
      <color theme="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A3E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8" fontId="3" fillId="3" borderId="0" xfId="0" applyNumberFormat="1" applyFont="1" applyFill="1" applyAlignment="1">
      <alignment horizontal="center"/>
    </xf>
    <xf numFmtId="8" fontId="0" fillId="0" borderId="0" xfId="0" applyNumberFormat="1"/>
    <xf numFmtId="178" fontId="0" fillId="0" borderId="0" xfId="0" applyNumberFormat="1"/>
    <xf numFmtId="179" fontId="0" fillId="0" borderId="0" xfId="0" applyNumberFormat="1"/>
    <xf numFmtId="0" fontId="4" fillId="4" borderId="1" xfId="0" applyFont="1" applyFill="1" applyBorder="1" applyAlignment="1">
      <alignment horizontal="center"/>
    </xf>
    <xf numFmtId="178" fontId="4" fillId="4" borderId="1" xfId="0" applyNumberFormat="1" applyFont="1" applyFill="1" applyBorder="1" applyAlignment="1">
      <alignment horizontal="center"/>
    </xf>
    <xf numFmtId="8" fontId="4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78" fontId="0" fillId="0" borderId="0" xfId="0" applyNumberFormat="1" applyAlignment="1">
      <alignment horizontal="left"/>
    </xf>
    <xf numFmtId="8" fontId="0" fillId="0" borderId="0" xfId="1" applyNumberFormat="1" applyFont="1" applyAlignment="1">
      <alignment horizontal="left"/>
    </xf>
    <xf numFmtId="8" fontId="0" fillId="0" borderId="0" xfId="0" applyNumberFormat="1" applyAlignment="1">
      <alignment horizontal="left"/>
    </xf>
    <xf numFmtId="0" fontId="5" fillId="0" borderId="0" xfId="0" applyFont="1"/>
    <xf numFmtId="179" fontId="4" fillId="4" borderId="1" xfId="0" applyNumberFormat="1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179" fontId="0" fillId="0" borderId="0" xfId="0" applyNumberFormat="1" applyAlignment="1">
      <alignment horizontal="left"/>
    </xf>
    <xf numFmtId="180" fontId="0" fillId="0" borderId="0" xfId="1" applyNumberFormat="1" applyFont="1"/>
    <xf numFmtId="2" fontId="0" fillId="0" borderId="0" xfId="0" applyNumberFormat="1"/>
    <xf numFmtId="58" fontId="0" fillId="0" borderId="0" xfId="0" applyNumberFormat="1" applyAlignment="1">
      <alignment horizontal="left"/>
    </xf>
    <xf numFmtId="181" fontId="0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80" fontId="0" fillId="0" borderId="0" xfId="0" applyNumberFormat="1" applyAlignment="1">
      <alignment horizontal="left"/>
    </xf>
    <xf numFmtId="58" fontId="0" fillId="0" borderId="0" xfId="0" applyNumberFormat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 2" xfId="49"/>
    <cellStyle name="Normal 2" xfId="50"/>
  </cellStyles>
  <dxfs count="10">
    <dxf>
      <numFmt numFmtId="8" formatCode="&quot;$&quot;#,##0.00_);[Red]\(&quot;$&quot;#,##0.00\)"/>
    </dxf>
    <dxf>
      <alignment horizontal="center"/>
    </dxf>
    <dxf>
      <numFmt numFmtId="178" formatCode="m/d/yyyy;@"/>
      <alignment horizontal="left"/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numFmt numFmtId="8" formatCode="&quot;$&quot;#,##0.00_);[Red]\(&quot;$&quot;#,##0.00\)"/>
      <alignment horizontal="left"/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numFmt numFmtId="8" formatCode="&quot;$&quot;#,##0.00_);[Red]\(&quot;$&quot;#,##0.00\)"/>
      <alignment horizontal="left"/>
    </dxf>
    <dxf>
      <numFmt numFmtId="179" formatCode="0.00_);[Red]\(0.00\)"/>
      <alignment horizontal="left"/>
    </dxf>
    <dxf>
      <numFmt numFmtId="8" formatCode="&quot;$&quot;#,##0.00_);[Red]\(&quot;$&quot;#,##0.00\)"/>
      <alignment horizontal="left"/>
    </dxf>
    <dxf>
      <numFmt numFmtId="8" formatCode="&quot;$&quot;#,##0.00_);[Red]\(&quot;$&quot;#,##0.00\)"/>
      <alignment horizontal="left"/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numFmt numFmtId="180" formatCode="_-* #,##0_-;\-* #,##0_-;_-* &quot;-&quot;??_-;_-@_-"/>
    </dxf>
    <dxf>
      <numFmt numFmtId="2" formatCode="0.00"/>
    </dxf>
  </dxfs>
  <tableStyles count="0" defaultTableStyle="TableStyleMedium2" defaultPivotStyle="PivotStyleLight16"/>
  <colors>
    <mruColors>
      <color rgb="002A3E6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[01. Apple Dataset - Project.xlsx]Pivot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Profit By Months</a:t>
            </a:r>
            <a:endParaRPr sz="12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Table'!$B$6</c:f>
              <c:strCache>
                <c:ptCount val="1"/>
                <c:pt idx="0">
                  <c:v>Sum of Revenues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 Table'!$A$7:$A$19</c:f>
              <c:strCache>
                <c:ptCount val="12"/>
                <c:pt idx="0">
                  <c:v>Dec</c:v>
                </c:pt>
                <c:pt idx="1">
                  <c:v>Apr</c:v>
                </c:pt>
                <c:pt idx="2">
                  <c:v>Jun</c:v>
                </c:pt>
                <c:pt idx="3">
                  <c:v>Feb</c:v>
                </c:pt>
                <c:pt idx="4">
                  <c:v>Mar</c:v>
                </c:pt>
                <c:pt idx="5">
                  <c:v>Sep</c:v>
                </c:pt>
                <c:pt idx="6">
                  <c:v>Jul</c:v>
                </c:pt>
                <c:pt idx="7">
                  <c:v>May</c:v>
                </c:pt>
                <c:pt idx="8">
                  <c:v>Jan</c:v>
                </c:pt>
                <c:pt idx="9">
                  <c:v>Nov</c:v>
                </c:pt>
                <c:pt idx="10">
                  <c:v>Oct</c:v>
                </c:pt>
                <c:pt idx="11">
                  <c:v>Aug</c:v>
                </c:pt>
              </c:strCache>
            </c:strRef>
          </c:cat>
          <c:val>
            <c:numRef>
              <c:f>'Pivot Table'!$B$7:$B$19</c:f>
              <c:numCache>
                <c:formatCode>General</c:formatCode>
                <c:ptCount val="12"/>
                <c:pt idx="0">
                  <c:v>911242.5</c:v>
                </c:pt>
                <c:pt idx="1">
                  <c:v>1793351.6</c:v>
                </c:pt>
                <c:pt idx="2">
                  <c:v>1981907.3</c:v>
                </c:pt>
                <c:pt idx="3">
                  <c:v>2111356</c:v>
                </c:pt>
                <c:pt idx="4">
                  <c:v>2783595</c:v>
                </c:pt>
                <c:pt idx="5">
                  <c:v>2860549.6</c:v>
                </c:pt>
                <c:pt idx="6">
                  <c:v>2986774.6</c:v>
                </c:pt>
                <c:pt idx="7">
                  <c:v>3401660.1</c:v>
                </c:pt>
                <c:pt idx="8">
                  <c:v>3419983.8</c:v>
                </c:pt>
                <c:pt idx="9">
                  <c:v>3617361.2</c:v>
                </c:pt>
                <c:pt idx="10">
                  <c:v>4558661.4</c:v>
                </c:pt>
                <c:pt idx="11">
                  <c:v>5691405.4</c:v>
                </c:pt>
              </c:numCache>
            </c:numRef>
          </c:val>
        </c:ser>
        <c:ser>
          <c:idx val="1"/>
          <c:order val="1"/>
          <c:tx>
            <c:strRef>
              <c:f>'Pivot Table'!$C$6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 Table'!$A$7:$A$19</c:f>
              <c:strCache>
                <c:ptCount val="12"/>
                <c:pt idx="0">
                  <c:v>Dec</c:v>
                </c:pt>
                <c:pt idx="1">
                  <c:v>Apr</c:v>
                </c:pt>
                <c:pt idx="2">
                  <c:v>Jun</c:v>
                </c:pt>
                <c:pt idx="3">
                  <c:v>Feb</c:v>
                </c:pt>
                <c:pt idx="4">
                  <c:v>Mar</c:v>
                </c:pt>
                <c:pt idx="5">
                  <c:v>Sep</c:v>
                </c:pt>
                <c:pt idx="6">
                  <c:v>Jul</c:v>
                </c:pt>
                <c:pt idx="7">
                  <c:v>May</c:v>
                </c:pt>
                <c:pt idx="8">
                  <c:v>Jan</c:v>
                </c:pt>
                <c:pt idx="9">
                  <c:v>Nov</c:v>
                </c:pt>
                <c:pt idx="10">
                  <c:v>Oct</c:v>
                </c:pt>
                <c:pt idx="11">
                  <c:v>Aug</c:v>
                </c:pt>
              </c:strCache>
            </c:strRef>
          </c:cat>
          <c:val>
            <c:numRef>
              <c:f>'Pivot Table'!$C$7:$C$19</c:f>
              <c:numCache>
                <c:formatCode>General</c:formatCode>
                <c:ptCount val="12"/>
                <c:pt idx="0">
                  <c:v>614840</c:v>
                </c:pt>
                <c:pt idx="1">
                  <c:v>1166932</c:v>
                </c:pt>
                <c:pt idx="2">
                  <c:v>1389456</c:v>
                </c:pt>
                <c:pt idx="3">
                  <c:v>1462150</c:v>
                </c:pt>
                <c:pt idx="4">
                  <c:v>1758368</c:v>
                </c:pt>
                <c:pt idx="5">
                  <c:v>1805362</c:v>
                </c:pt>
                <c:pt idx="6">
                  <c:v>2012362</c:v>
                </c:pt>
                <c:pt idx="7">
                  <c:v>2178235</c:v>
                </c:pt>
                <c:pt idx="8">
                  <c:v>2345618</c:v>
                </c:pt>
                <c:pt idx="9">
                  <c:v>2470778</c:v>
                </c:pt>
                <c:pt idx="10">
                  <c:v>3085812</c:v>
                </c:pt>
                <c:pt idx="11">
                  <c:v>3766006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100"/>
        <c:axId val="272528802"/>
        <c:axId val="918953797"/>
      </c:barChart>
      <c:catAx>
        <c:axId val="27252880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>
                    <a:latin typeface="Arial Rounded MT Bold" panose="020F0704030504030204" charset="0"/>
                    <a:cs typeface="Arial Rounded MT Bold" panose="020F0704030504030204" charset="0"/>
                  </a:rPr>
                  <a:t>Months</a:t>
                </a:r>
                <a:endParaRPr sz="1000">
                  <a:latin typeface="Arial Rounded MT Bold" panose="020F0704030504030204" charset="0"/>
                  <a:cs typeface="Arial Rounded MT Bold" panose="020F0704030504030204" charset="0"/>
                </a:endParaRPr>
              </a:p>
            </c:rich>
          </c:tx>
          <c:layout>
            <c:manualLayout>
              <c:xMode val="edge"/>
              <c:yMode val="edge"/>
              <c:x val="0.456605263157895"/>
              <c:y val="0.861375662283923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8953797"/>
        <c:crosses val="autoZero"/>
        <c:auto val="1"/>
        <c:lblAlgn val="ctr"/>
        <c:lblOffset val="100"/>
        <c:noMultiLvlLbl val="0"/>
      </c:catAx>
      <c:valAx>
        <c:axId val="9189537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ln w="0" cmpd="sng">
                  <a:noFill/>
                  <a:prstDash val="solid"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7252880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3313a4-e415-422f-834d-bdf198939ba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[01. Apple Dataset - Project.xlsx]Pivot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Profit by Product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Table'!$B$23</c:f>
              <c:strCache>
                <c:ptCount val="1"/>
                <c:pt idx="0">
                  <c:v>Total</c:v>
                </c:pt>
              </c:strCache>
            </c:strRef>
          </c:tx>
          <c:spPr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'Pivot Table'!$A$24:$A$29</c:f>
              <c:strCache>
                <c:ptCount val="5"/>
                <c:pt idx="0">
                  <c:v>iwatch</c:v>
                </c:pt>
                <c:pt idx="1">
                  <c:v>ipad</c:v>
                </c:pt>
                <c:pt idx="2">
                  <c:v>airpod</c:v>
                </c:pt>
                <c:pt idx="3">
                  <c:v>iphone</c:v>
                </c:pt>
                <c:pt idx="4">
                  <c:v>macbook</c:v>
                </c:pt>
              </c:strCache>
            </c:strRef>
          </c:cat>
          <c:val>
            <c:numRef>
              <c:f>'Pivot Table'!$B$24:$B$29</c:f>
              <c:numCache>
                <c:formatCode>General</c:formatCode>
                <c:ptCount val="5"/>
                <c:pt idx="0">
                  <c:v>2231309</c:v>
                </c:pt>
                <c:pt idx="1">
                  <c:v>3264320</c:v>
                </c:pt>
                <c:pt idx="2">
                  <c:v>5430033</c:v>
                </c:pt>
                <c:pt idx="3">
                  <c:v>6248921</c:v>
                </c:pt>
                <c:pt idx="4">
                  <c:v>6881336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581151120"/>
        <c:axId val="479713131"/>
      </c:barChart>
      <c:catAx>
        <c:axId val="58115112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/>
                  <a:t>Product</a:t>
                </a:r>
                <a:endParaRPr sz="12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9713131"/>
        <c:crosses val="autoZero"/>
        <c:auto val="1"/>
        <c:lblAlgn val="ctr"/>
        <c:lblOffset val="100"/>
        <c:noMultiLvlLbl val="0"/>
      </c:catAx>
      <c:valAx>
        <c:axId val="4797131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/>
                  <a:t>Sum of Profit</a:t>
                </a:r>
                <a:endParaRPr sz="12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115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5fc1e2-f67f-4e6a-9304-eb07454fbd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[01. Apple Dataset - Project.xlsx]Pivot 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Profit by Region</a:t>
            </a:r>
          </a:p>
        </c:rich>
      </c:tx>
      <c:layout>
        <c:manualLayout>
          <c:xMode val="edge"/>
          <c:yMode val="edge"/>
          <c:x val="0.368552631578947"/>
          <c:y val="0.127777776784367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'Pivot Table'!$B$36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ln w="12700" cmpd="sng">
                      <a:noFill/>
                      <a:prstDash val="solid"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Table'!$A$37:$A$41</c:f>
              <c:strCache>
                <c:ptCount val="4"/>
                <c:pt idx="0">
                  <c:v>EMEA</c:v>
                </c:pt>
                <c:pt idx="1">
                  <c:v>South America</c:v>
                </c:pt>
                <c:pt idx="2">
                  <c:v>North America</c:v>
                </c:pt>
                <c:pt idx="3">
                  <c:v>APAC</c:v>
                </c:pt>
              </c:strCache>
            </c:strRef>
          </c:cat>
          <c:val>
            <c:numRef>
              <c:f>'Pivot Table'!$B$37:$B$41</c:f>
              <c:numCache>
                <c:formatCode>General</c:formatCode>
                <c:ptCount val="4"/>
                <c:pt idx="0">
                  <c:v>4261469</c:v>
                </c:pt>
                <c:pt idx="1">
                  <c:v>5315774</c:v>
                </c:pt>
                <c:pt idx="2">
                  <c:v>5317763</c:v>
                </c:pt>
                <c:pt idx="3">
                  <c:v>9160913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6ec3e7e-21b3-4fea-a5d3-5348d9a7a97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[01. Apple Dataset - Project.xlsx]Pivot Table!PivotTable5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Sales Method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Table'!$B$48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Table'!$A$49:$A$53</c:f>
              <c:strCache>
                <c:ptCount val="4"/>
                <c:pt idx="0">
                  <c:v>In-store</c:v>
                </c:pt>
                <c:pt idx="1">
                  <c:v>Third Party</c:v>
                </c:pt>
                <c:pt idx="2">
                  <c:v>Online Store</c:v>
                </c:pt>
                <c:pt idx="3">
                  <c:v>Referral</c:v>
                </c:pt>
              </c:strCache>
            </c:strRef>
          </c:cat>
          <c:val>
            <c:numRef>
              <c:f>'Pivot Table'!$B$49:$B$53</c:f>
              <c:numCache>
                <c:formatCode>General</c:formatCode>
                <c:ptCount val="4"/>
                <c:pt idx="0">
                  <c:v>11252837.5</c:v>
                </c:pt>
                <c:pt idx="1">
                  <c:v>10533494.4</c:v>
                </c:pt>
                <c:pt idx="2">
                  <c:v>9716649.9</c:v>
                </c:pt>
                <c:pt idx="3">
                  <c:v>4614866.7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858e91-c910-4e3c-8a64-1a84247f701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[01. Apple Dataset - Project.xlsx]Pivot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Profit By Months</a:t>
            </a:r>
            <a:endParaRPr sz="12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Table'!$B$6</c:f>
              <c:strCache>
                <c:ptCount val="1"/>
                <c:pt idx="0">
                  <c:v>Sum of Revenues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 Table'!$A$7:$A$19</c:f>
              <c:strCache>
                <c:ptCount val="12"/>
                <c:pt idx="0">
                  <c:v>Dec</c:v>
                </c:pt>
                <c:pt idx="1">
                  <c:v>Apr</c:v>
                </c:pt>
                <c:pt idx="2">
                  <c:v>Jun</c:v>
                </c:pt>
                <c:pt idx="3">
                  <c:v>Feb</c:v>
                </c:pt>
                <c:pt idx="4">
                  <c:v>Mar</c:v>
                </c:pt>
                <c:pt idx="5">
                  <c:v>Sep</c:v>
                </c:pt>
                <c:pt idx="6">
                  <c:v>Jul</c:v>
                </c:pt>
                <c:pt idx="7">
                  <c:v>May</c:v>
                </c:pt>
                <c:pt idx="8">
                  <c:v>Jan</c:v>
                </c:pt>
                <c:pt idx="9">
                  <c:v>Nov</c:v>
                </c:pt>
                <c:pt idx="10">
                  <c:v>Oct</c:v>
                </c:pt>
                <c:pt idx="11">
                  <c:v>Aug</c:v>
                </c:pt>
              </c:strCache>
            </c:strRef>
          </c:cat>
          <c:val>
            <c:numRef>
              <c:f>'Pivot Table'!$B$7:$B$19</c:f>
              <c:numCache>
                <c:formatCode>General</c:formatCode>
                <c:ptCount val="12"/>
                <c:pt idx="0">
                  <c:v>911242.5</c:v>
                </c:pt>
                <c:pt idx="1">
                  <c:v>1793351.6</c:v>
                </c:pt>
                <c:pt idx="2">
                  <c:v>1981907.3</c:v>
                </c:pt>
                <c:pt idx="3">
                  <c:v>2111356</c:v>
                </c:pt>
                <c:pt idx="4">
                  <c:v>2783595</c:v>
                </c:pt>
                <c:pt idx="5">
                  <c:v>2860549.6</c:v>
                </c:pt>
                <c:pt idx="6">
                  <c:v>2986774.6</c:v>
                </c:pt>
                <c:pt idx="7">
                  <c:v>3401660.1</c:v>
                </c:pt>
                <c:pt idx="8">
                  <c:v>3419983.8</c:v>
                </c:pt>
                <c:pt idx="9">
                  <c:v>3617361.2</c:v>
                </c:pt>
                <c:pt idx="10">
                  <c:v>4558661.4</c:v>
                </c:pt>
                <c:pt idx="11">
                  <c:v>5691405.4</c:v>
                </c:pt>
              </c:numCache>
            </c:numRef>
          </c:val>
        </c:ser>
        <c:ser>
          <c:idx val="1"/>
          <c:order val="1"/>
          <c:tx>
            <c:strRef>
              <c:f>'Pivot Table'!$C$6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 Table'!$A$7:$A$19</c:f>
              <c:strCache>
                <c:ptCount val="12"/>
                <c:pt idx="0">
                  <c:v>Dec</c:v>
                </c:pt>
                <c:pt idx="1">
                  <c:v>Apr</c:v>
                </c:pt>
                <c:pt idx="2">
                  <c:v>Jun</c:v>
                </c:pt>
                <c:pt idx="3">
                  <c:v>Feb</c:v>
                </c:pt>
                <c:pt idx="4">
                  <c:v>Mar</c:v>
                </c:pt>
                <c:pt idx="5">
                  <c:v>Sep</c:v>
                </c:pt>
                <c:pt idx="6">
                  <c:v>Jul</c:v>
                </c:pt>
                <c:pt idx="7">
                  <c:v>May</c:v>
                </c:pt>
                <c:pt idx="8">
                  <c:v>Jan</c:v>
                </c:pt>
                <c:pt idx="9">
                  <c:v>Nov</c:v>
                </c:pt>
                <c:pt idx="10">
                  <c:v>Oct</c:v>
                </c:pt>
                <c:pt idx="11">
                  <c:v>Aug</c:v>
                </c:pt>
              </c:strCache>
            </c:strRef>
          </c:cat>
          <c:val>
            <c:numRef>
              <c:f>'Pivot Table'!$C$7:$C$19</c:f>
              <c:numCache>
                <c:formatCode>General</c:formatCode>
                <c:ptCount val="12"/>
                <c:pt idx="0">
                  <c:v>614840</c:v>
                </c:pt>
                <c:pt idx="1">
                  <c:v>1166932</c:v>
                </c:pt>
                <c:pt idx="2">
                  <c:v>1389456</c:v>
                </c:pt>
                <c:pt idx="3">
                  <c:v>1462150</c:v>
                </c:pt>
                <c:pt idx="4">
                  <c:v>1758368</c:v>
                </c:pt>
                <c:pt idx="5">
                  <c:v>1805362</c:v>
                </c:pt>
                <c:pt idx="6">
                  <c:v>2012362</c:v>
                </c:pt>
                <c:pt idx="7">
                  <c:v>2178235</c:v>
                </c:pt>
                <c:pt idx="8">
                  <c:v>2345618</c:v>
                </c:pt>
                <c:pt idx="9">
                  <c:v>2470778</c:v>
                </c:pt>
                <c:pt idx="10">
                  <c:v>3085812</c:v>
                </c:pt>
                <c:pt idx="11">
                  <c:v>3766006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100"/>
        <c:axId val="272528802"/>
        <c:axId val="918953797"/>
      </c:barChart>
      <c:catAx>
        <c:axId val="27252880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>
                    <a:latin typeface="Arial Rounded MT Bold" panose="020F0704030504030204" charset="0"/>
                    <a:cs typeface="Arial Rounded MT Bold" panose="020F0704030504030204" charset="0"/>
                  </a:rPr>
                  <a:t>Months</a:t>
                </a:r>
                <a:endParaRPr sz="1000">
                  <a:latin typeface="Arial Rounded MT Bold" panose="020F0704030504030204" charset="0"/>
                  <a:cs typeface="Arial Rounded MT Bold" panose="020F0704030504030204" charset="0"/>
                </a:endParaRPr>
              </a:p>
            </c:rich>
          </c:tx>
          <c:layout>
            <c:manualLayout>
              <c:xMode val="edge"/>
              <c:yMode val="edge"/>
              <c:x val="0.456605263157895"/>
              <c:y val="0.861375662283923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8953797"/>
        <c:crosses val="autoZero"/>
        <c:auto val="1"/>
        <c:lblAlgn val="ctr"/>
        <c:lblOffset val="100"/>
        <c:noMultiLvlLbl val="0"/>
      </c:catAx>
      <c:valAx>
        <c:axId val="9189537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ln w="0" cmpd="sng">
                  <a:noFill/>
                  <a:prstDash val="solid"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7252880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3313a4-e415-422f-834d-bdf198939ba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[01. Apple Dataset - Project.xlsx]Pivot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Profit by Product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Table'!$B$23</c:f>
              <c:strCache>
                <c:ptCount val="1"/>
                <c:pt idx="0">
                  <c:v>Total</c:v>
                </c:pt>
              </c:strCache>
            </c:strRef>
          </c:tx>
          <c:spPr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'Pivot Table'!$A$24:$A$29</c:f>
              <c:strCache>
                <c:ptCount val="5"/>
                <c:pt idx="0">
                  <c:v>iwatch</c:v>
                </c:pt>
                <c:pt idx="1">
                  <c:v>ipad</c:v>
                </c:pt>
                <c:pt idx="2">
                  <c:v>airpod</c:v>
                </c:pt>
                <c:pt idx="3">
                  <c:v>iphone</c:v>
                </c:pt>
                <c:pt idx="4">
                  <c:v>macbook</c:v>
                </c:pt>
              </c:strCache>
            </c:strRef>
          </c:cat>
          <c:val>
            <c:numRef>
              <c:f>'Pivot Table'!$B$24:$B$29</c:f>
              <c:numCache>
                <c:formatCode>General</c:formatCode>
                <c:ptCount val="5"/>
                <c:pt idx="0">
                  <c:v>2231309</c:v>
                </c:pt>
                <c:pt idx="1">
                  <c:v>3264320</c:v>
                </c:pt>
                <c:pt idx="2">
                  <c:v>5430033</c:v>
                </c:pt>
                <c:pt idx="3">
                  <c:v>6248921</c:v>
                </c:pt>
                <c:pt idx="4">
                  <c:v>6881336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581151120"/>
        <c:axId val="479713131"/>
      </c:barChart>
      <c:catAx>
        <c:axId val="58115112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/>
                  <a:t>Product</a:t>
                </a:r>
                <a:endParaRPr sz="12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9713131"/>
        <c:crosses val="autoZero"/>
        <c:auto val="1"/>
        <c:lblAlgn val="ctr"/>
        <c:lblOffset val="100"/>
        <c:noMultiLvlLbl val="0"/>
      </c:catAx>
      <c:valAx>
        <c:axId val="4797131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/>
                  <a:t>Sum of Profit</a:t>
                </a:r>
                <a:endParaRPr sz="12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115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5fc1e2-f67f-4e6a-9304-eb07454fbd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[01. Apple Dataset - Project.xlsx]Pivot Table!PivotTable4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Profit by Region</a:t>
            </a:r>
          </a:p>
        </c:rich>
      </c:tx>
      <c:layout>
        <c:manualLayout>
          <c:xMode val="edge"/>
          <c:yMode val="edge"/>
          <c:x val="0.368552631578947"/>
          <c:y val="0.127777776784367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'Pivot Table'!$B$36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ln w="12700" cmpd="sng">
                      <a:noFill/>
                      <a:prstDash val="solid"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Table'!$A$37:$A$41</c:f>
              <c:strCache>
                <c:ptCount val="4"/>
                <c:pt idx="0">
                  <c:v>EMEA</c:v>
                </c:pt>
                <c:pt idx="1">
                  <c:v>South America</c:v>
                </c:pt>
                <c:pt idx="2">
                  <c:v>North America</c:v>
                </c:pt>
                <c:pt idx="3">
                  <c:v>APAC</c:v>
                </c:pt>
              </c:strCache>
            </c:strRef>
          </c:cat>
          <c:val>
            <c:numRef>
              <c:f>'Pivot Table'!$B$37:$B$41</c:f>
              <c:numCache>
                <c:formatCode>General</c:formatCode>
                <c:ptCount val="4"/>
                <c:pt idx="0">
                  <c:v>4261469</c:v>
                </c:pt>
                <c:pt idx="1">
                  <c:v>5315774</c:v>
                </c:pt>
                <c:pt idx="2">
                  <c:v>5317763</c:v>
                </c:pt>
                <c:pt idx="3">
                  <c:v>9160913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6ec3e7e-21b3-4fea-a5d3-5348d9a7a97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[01. Apple Dataset - Project.xlsx]Pivot Table!PivotTable5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Sales Method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Table'!$B$48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Table'!$A$49:$A$53</c:f>
              <c:strCache>
                <c:ptCount val="4"/>
                <c:pt idx="0">
                  <c:v>In-store</c:v>
                </c:pt>
                <c:pt idx="1">
                  <c:v>Third Party</c:v>
                </c:pt>
                <c:pt idx="2">
                  <c:v>Online Store</c:v>
                </c:pt>
                <c:pt idx="3">
                  <c:v>Referral</c:v>
                </c:pt>
              </c:strCache>
            </c:strRef>
          </c:cat>
          <c:val>
            <c:numRef>
              <c:f>'Pivot Table'!$B$49:$B$53</c:f>
              <c:numCache>
                <c:formatCode>General</c:formatCode>
                <c:ptCount val="4"/>
                <c:pt idx="0">
                  <c:v>11252837.5</c:v>
                </c:pt>
                <c:pt idx="1">
                  <c:v>10533494.4</c:v>
                </c:pt>
                <c:pt idx="2">
                  <c:v>9716649.9</c:v>
                </c:pt>
                <c:pt idx="3">
                  <c:v>4614866.7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858e91-c910-4e3c-8a64-1a84247f701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292100</xdr:colOff>
      <xdr:row>4</xdr:row>
      <xdr:rowOff>158750</xdr:rowOff>
    </xdr:from>
    <xdr:to>
      <xdr:col>8</xdr:col>
      <xdr:colOff>498475</xdr:colOff>
      <xdr:row>19</xdr:row>
      <xdr:rowOff>158750</xdr:rowOff>
    </xdr:to>
    <xdr:graphicFrame>
      <xdr:nvGraphicFramePr>
        <xdr:cNvPr id="6" name="Chart 5"/>
        <xdr:cNvGraphicFramePr/>
      </xdr:nvGraphicFramePr>
      <xdr:xfrm>
        <a:off x="3940175" y="958850"/>
        <a:ext cx="7874000" cy="3000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377825</xdr:colOff>
      <xdr:row>19</xdr:row>
      <xdr:rowOff>117475</xdr:rowOff>
    </xdr:from>
    <xdr:to>
      <xdr:col>6</xdr:col>
      <xdr:colOff>260350</xdr:colOff>
      <xdr:row>33</xdr:row>
      <xdr:rowOff>60325</xdr:rowOff>
    </xdr:to>
    <xdr:graphicFrame>
      <xdr:nvGraphicFramePr>
        <xdr:cNvPr id="7" name="Chart 6"/>
        <xdr:cNvGraphicFramePr/>
      </xdr:nvGraphicFramePr>
      <xdr:xfrm>
        <a:off x="2816225" y="3917950"/>
        <a:ext cx="69119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339725</xdr:colOff>
      <xdr:row>33</xdr:row>
      <xdr:rowOff>120650</xdr:rowOff>
    </xdr:from>
    <xdr:to>
      <xdr:col>6</xdr:col>
      <xdr:colOff>222250</xdr:colOff>
      <xdr:row>47</xdr:row>
      <xdr:rowOff>63500</xdr:rowOff>
    </xdr:to>
    <xdr:graphicFrame>
      <xdr:nvGraphicFramePr>
        <xdr:cNvPr id="9" name="Chart 8"/>
        <xdr:cNvGraphicFramePr/>
      </xdr:nvGraphicFramePr>
      <xdr:xfrm>
        <a:off x="2778125" y="6721475"/>
        <a:ext cx="69119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346075</xdr:colOff>
      <xdr:row>48</xdr:row>
      <xdr:rowOff>15875</xdr:rowOff>
    </xdr:from>
    <xdr:to>
      <xdr:col>4</xdr:col>
      <xdr:colOff>276225</xdr:colOff>
      <xdr:row>61</xdr:row>
      <xdr:rowOff>158750</xdr:rowOff>
    </xdr:to>
    <xdr:graphicFrame>
      <xdr:nvGraphicFramePr>
        <xdr:cNvPr id="10" name="Chart 9"/>
        <xdr:cNvGraphicFramePr/>
      </xdr:nvGraphicFramePr>
      <xdr:xfrm>
        <a:off x="2784475" y="9617075"/>
        <a:ext cx="35877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142875</xdr:colOff>
      <xdr:row>3</xdr:row>
      <xdr:rowOff>161925</xdr:rowOff>
    </xdr:from>
    <xdr:ext cx="1122045" cy="323850"/>
    <xdr:sp>
      <xdr:nvSpPr>
        <xdr:cNvPr id="4" name="Text Box 3"/>
        <xdr:cNvSpPr txBox="1"/>
      </xdr:nvSpPr>
      <xdr:spPr>
        <a:xfrm>
          <a:off x="1724025" y="762000"/>
          <a:ext cx="1122045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sz="1400">
              <a:latin typeface="Arial Rounded MT Bold" panose="020F0704030504030204" charset="0"/>
              <a:cs typeface="Arial Rounded MT Bold" panose="020F0704030504030204" charset="0"/>
            </a:rPr>
            <a:t>Sum of Qty</a:t>
          </a:r>
          <a:endParaRPr lang="en-US" sz="1400">
            <a:latin typeface="Arial Rounded MT Bold" panose="020F0704030504030204" charset="0"/>
            <a:cs typeface="Arial Rounded MT Bold" panose="020F0704030504030204" charset="0"/>
          </a:endParaRPr>
        </a:p>
      </xdr:txBody>
    </xdr:sp>
    <xdr:clientData/>
  </xdr:oneCellAnchor>
  <xdr:oneCellAnchor>
    <xdr:from>
      <xdr:col>5</xdr:col>
      <xdr:colOff>114300</xdr:colOff>
      <xdr:row>3</xdr:row>
      <xdr:rowOff>171450</xdr:rowOff>
    </xdr:from>
    <xdr:ext cx="1207135" cy="323850"/>
    <xdr:sp>
      <xdr:nvSpPr>
        <xdr:cNvPr id="5" name="Text Box 4"/>
        <xdr:cNvSpPr txBox="1"/>
      </xdr:nvSpPr>
      <xdr:spPr>
        <a:xfrm>
          <a:off x="3476625" y="771525"/>
          <a:ext cx="1207135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sz="1400">
              <a:latin typeface="Arial Rounded MT Bold" panose="020F0704030504030204" charset="0"/>
              <a:cs typeface="Arial Rounded MT Bold" panose="020F0704030504030204" charset="0"/>
            </a:rPr>
            <a:t>Sum of Rev.</a:t>
          </a:r>
          <a:endParaRPr lang="en-US" sz="1400">
            <a:latin typeface="Arial Rounded MT Bold" panose="020F0704030504030204" charset="0"/>
            <a:cs typeface="Arial Rounded MT Bold" panose="020F0704030504030204" charset="0"/>
          </a:endParaRPr>
        </a:p>
      </xdr:txBody>
    </xdr:sp>
    <xdr:clientData/>
  </xdr:oneCellAnchor>
  <xdr:oneCellAnchor>
    <xdr:from>
      <xdr:col>8</xdr:col>
      <xdr:colOff>142875</xdr:colOff>
      <xdr:row>4</xdr:row>
      <xdr:rowOff>0</xdr:rowOff>
    </xdr:from>
    <xdr:ext cx="1144270" cy="323850"/>
    <xdr:sp>
      <xdr:nvSpPr>
        <xdr:cNvPr id="6" name="Text Box 5"/>
        <xdr:cNvSpPr txBox="1"/>
      </xdr:nvSpPr>
      <xdr:spPr>
        <a:xfrm>
          <a:off x="5372100" y="800100"/>
          <a:ext cx="1144270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sz="1400">
              <a:latin typeface="Arial Rounded MT Bold" panose="020F0704030504030204" charset="0"/>
              <a:cs typeface="Arial Rounded MT Bold" panose="020F0704030504030204" charset="0"/>
            </a:rPr>
            <a:t>Sum of Exp</a:t>
          </a:r>
          <a:endParaRPr lang="en-US" sz="1400">
            <a:latin typeface="Arial Rounded MT Bold" panose="020F0704030504030204" charset="0"/>
            <a:cs typeface="Arial Rounded MT Bold" panose="020F0704030504030204" charset="0"/>
          </a:endParaRPr>
        </a:p>
      </xdr:txBody>
    </xdr:sp>
    <xdr:clientData/>
  </xdr:oneCellAnchor>
  <xdr:oneCellAnchor>
    <xdr:from>
      <xdr:col>11</xdr:col>
      <xdr:colOff>19050</xdr:colOff>
      <xdr:row>4</xdr:row>
      <xdr:rowOff>19050</xdr:rowOff>
    </xdr:from>
    <xdr:ext cx="1329690" cy="323850"/>
    <xdr:sp>
      <xdr:nvSpPr>
        <xdr:cNvPr id="7" name="Text Box 6"/>
        <xdr:cNvSpPr txBox="1"/>
      </xdr:nvSpPr>
      <xdr:spPr>
        <a:xfrm>
          <a:off x="7124700" y="819150"/>
          <a:ext cx="1329690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sz="1400">
              <a:latin typeface="Arial Rounded MT Bold" panose="020F0704030504030204" charset="0"/>
              <a:cs typeface="Arial Rounded MT Bold" panose="020F0704030504030204" charset="0"/>
            </a:rPr>
            <a:t>Sum Of Profit</a:t>
          </a:r>
          <a:endParaRPr lang="en-US" sz="1400">
            <a:latin typeface="Arial Rounded MT Bold" panose="020F0704030504030204" charset="0"/>
            <a:cs typeface="Arial Rounded MT Bold" panose="020F0704030504030204" charset="0"/>
          </a:endParaRPr>
        </a:p>
      </xdr:txBody>
    </xdr:sp>
    <xdr:clientData/>
  </xdr:oneCellAnchor>
  <xdr:oneCellAnchor>
    <xdr:from>
      <xdr:col>14</xdr:col>
      <xdr:colOff>76200</xdr:colOff>
      <xdr:row>4</xdr:row>
      <xdr:rowOff>19050</xdr:rowOff>
    </xdr:from>
    <xdr:ext cx="1264920" cy="323850"/>
    <xdr:sp>
      <xdr:nvSpPr>
        <xdr:cNvPr id="8" name="Text Box 7"/>
        <xdr:cNvSpPr txBox="1"/>
      </xdr:nvSpPr>
      <xdr:spPr>
        <a:xfrm>
          <a:off x="9182100" y="819150"/>
          <a:ext cx="1264920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sz="1400">
              <a:latin typeface="Arial Rounded MT Bold" panose="020F0704030504030204" charset="0"/>
              <a:cs typeface="Arial Rounded MT Bold" panose="020F0704030504030204" charset="0"/>
            </a:rPr>
            <a:t>Avg Exp/Rev</a:t>
          </a:r>
          <a:endParaRPr lang="en-US" sz="1400">
            <a:latin typeface="Arial Rounded MT Bold" panose="020F0704030504030204" charset="0"/>
            <a:cs typeface="Arial Rounded MT Bold" panose="020F0704030504030204" charset="0"/>
          </a:endParaRPr>
        </a:p>
      </xdr:txBody>
    </xdr:sp>
    <xdr:clientData/>
  </xdr:oneCellAnchor>
  <xdr:twoCellAnchor>
    <xdr:from>
      <xdr:col>2</xdr:col>
      <xdr:colOff>9525</xdr:colOff>
      <xdr:row>7</xdr:row>
      <xdr:rowOff>104775</xdr:rowOff>
    </xdr:from>
    <xdr:to>
      <xdr:col>10</xdr:col>
      <xdr:colOff>311785</xdr:colOff>
      <xdr:row>22</xdr:row>
      <xdr:rowOff>104775</xdr:rowOff>
    </xdr:to>
    <xdr:graphicFrame>
      <xdr:nvGraphicFramePr>
        <xdr:cNvPr id="9" name="Chart 8"/>
        <xdr:cNvGraphicFramePr/>
      </xdr:nvGraphicFramePr>
      <xdr:xfrm>
        <a:off x="1590675" y="1504950"/>
        <a:ext cx="5388610" cy="3000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828675</xdr:colOff>
      <xdr:row>22</xdr:row>
      <xdr:rowOff>180975</xdr:rowOff>
    </xdr:from>
    <xdr:to>
      <xdr:col>10</xdr:col>
      <xdr:colOff>311150</xdr:colOff>
      <xdr:row>36</xdr:row>
      <xdr:rowOff>123825</xdr:rowOff>
    </xdr:to>
    <xdr:graphicFrame>
      <xdr:nvGraphicFramePr>
        <xdr:cNvPr id="10" name="Chart 9"/>
        <xdr:cNvGraphicFramePr/>
      </xdr:nvGraphicFramePr>
      <xdr:xfrm>
        <a:off x="1571625" y="4581525"/>
        <a:ext cx="54070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361950</xdr:colOff>
      <xdr:row>7</xdr:row>
      <xdr:rowOff>95250</xdr:rowOff>
    </xdr:from>
    <xdr:to>
      <xdr:col>15</xdr:col>
      <xdr:colOff>730885</xdr:colOff>
      <xdr:row>22</xdr:row>
      <xdr:rowOff>123190</xdr:rowOff>
    </xdr:to>
    <xdr:graphicFrame>
      <xdr:nvGraphicFramePr>
        <xdr:cNvPr id="11" name="Chart 10"/>
        <xdr:cNvGraphicFramePr/>
      </xdr:nvGraphicFramePr>
      <xdr:xfrm>
        <a:off x="7029450" y="1495425"/>
        <a:ext cx="3493135" cy="3028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352425</xdr:colOff>
      <xdr:row>22</xdr:row>
      <xdr:rowOff>190500</xdr:rowOff>
    </xdr:from>
    <xdr:to>
      <xdr:col>16</xdr:col>
      <xdr:colOff>16510</xdr:colOff>
      <xdr:row>36</xdr:row>
      <xdr:rowOff>133350</xdr:rowOff>
    </xdr:to>
    <xdr:graphicFrame>
      <xdr:nvGraphicFramePr>
        <xdr:cNvPr id="12" name="Chart 11"/>
        <xdr:cNvGraphicFramePr/>
      </xdr:nvGraphicFramePr>
      <xdr:xfrm>
        <a:off x="7019925" y="4591050"/>
        <a:ext cx="35407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19050</xdr:colOff>
      <xdr:row>0</xdr:row>
      <xdr:rowOff>33020</xdr:rowOff>
    </xdr:from>
    <xdr:to>
      <xdr:col>0</xdr:col>
      <xdr:colOff>554990</xdr:colOff>
      <xdr:row>2</xdr:row>
      <xdr:rowOff>177165</xdr:rowOff>
    </xdr:to>
    <xdr:pic>
      <xdr:nvPicPr>
        <xdr:cNvPr id="13" name="Picture 12" descr="apple image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050" y="33020"/>
          <a:ext cx="535940" cy="544195"/>
        </a:xfrm>
        <a:prstGeom prst="rect">
          <a:avLst/>
        </a:prstGeom>
      </xdr:spPr>
    </xdr:pic>
    <xdr:clientData/>
  </xdr:twoCellAnchor>
  <xdr:twoCellAnchor editAs="oneCell">
    <xdr:from>
      <xdr:col>15</xdr:col>
      <xdr:colOff>114300</xdr:colOff>
      <xdr:row>0</xdr:row>
      <xdr:rowOff>73660</xdr:rowOff>
    </xdr:from>
    <xdr:to>
      <xdr:col>15</xdr:col>
      <xdr:colOff>705485</xdr:colOff>
      <xdr:row>2</xdr:row>
      <xdr:rowOff>142875</xdr:rowOff>
    </xdr:to>
    <xdr:pic>
      <xdr:nvPicPr>
        <xdr:cNvPr id="14" name="Picture 13" descr="USA fla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906000" y="73660"/>
          <a:ext cx="591185" cy="469265"/>
        </a:xfrm>
        <a:prstGeom prst="rect">
          <a:avLst/>
        </a:prstGeom>
      </xdr:spPr>
    </xdr:pic>
    <xdr:clientData/>
  </xdr:twoCellAnchor>
  <xdr:twoCellAnchor editAs="oneCell">
    <xdr:from>
      <xdr:col>0</xdr:col>
      <xdr:colOff>22225</xdr:colOff>
      <xdr:row>3</xdr:row>
      <xdr:rowOff>25400</xdr:rowOff>
    </xdr:from>
    <xdr:to>
      <xdr:col>1</xdr:col>
      <xdr:colOff>822960</xdr:colOff>
      <xdr:row>10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25" y="625475"/>
              <a:ext cx="1543685" cy="1546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22225</xdr:colOff>
      <xdr:row>10</xdr:row>
      <xdr:rowOff>158750</xdr:rowOff>
    </xdr:from>
    <xdr:to>
      <xdr:col>1</xdr:col>
      <xdr:colOff>803275</xdr:colOff>
      <xdr:row>20</xdr:row>
      <xdr:rowOff>19685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25" y="2159000"/>
              <a:ext cx="1524000" cy="18611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25400</xdr:colOff>
      <xdr:row>20</xdr:row>
      <xdr:rowOff>38100</xdr:rowOff>
    </xdr:from>
    <xdr:to>
      <xdr:col>1</xdr:col>
      <xdr:colOff>835025</xdr:colOff>
      <xdr:row>27</xdr:row>
      <xdr:rowOff>184785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6" name="Sales 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" y="4038600"/>
              <a:ext cx="1552575" cy="1546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31750</xdr:colOff>
      <xdr:row>27</xdr:row>
      <xdr:rowOff>177800</xdr:rowOff>
    </xdr:from>
    <xdr:to>
      <xdr:col>1</xdr:col>
      <xdr:colOff>831850</xdr:colOff>
      <xdr:row>36</xdr:row>
      <xdr:rowOff>143510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750" y="5578475"/>
              <a:ext cx="1543050" cy="17659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42.660775463" refreshedBy="user" recordCount="199">
  <cacheSource type="worksheet">
    <worksheetSource ref="A1:M200" sheet="Working Sheet"/>
  </cacheSource>
  <cacheFields count="13">
    <cacheField name="ID Number" numFmtId="0">
      <sharedItems containsSemiMixedTypes="0" containsString="0" containsNumber="1" containsInteger="1" minValue="0" maxValue="10208" count="199"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</sharedItems>
    </cacheField>
    <cacheField name="Date" numFmtId="178">
      <sharedItems containsSemiMixedTypes="0" containsString="0" containsNonDate="0" containsDate="1" minDate="2022-01-01T00:00:00" maxDate="2022-12-30T00:00:00" count="151">
        <d v="2022-01-01T00:00:00"/>
        <d v="2022-01-04T00:00:00"/>
        <d v="2022-01-07T00:00:00"/>
        <d v="2022-01-10T00:00:00"/>
        <d v="2022-01-13T00:00:00"/>
        <d v="2022-01-16T00:00:00"/>
        <d v="2022-01-19T00:00:00"/>
        <d v="2022-01-22T00:00:00"/>
        <d v="2022-01-25T00:00:00"/>
        <d v="2022-02-04T00:00:00"/>
        <d v="2022-02-05T00:00:00"/>
        <d v="2022-02-06T00:00:00"/>
        <d v="2022-02-07T00:00:00"/>
        <d v="2022-02-08T00:00:00"/>
        <d v="2022-03-15T00:00:00"/>
        <d v="2022-03-17T00:00:00"/>
        <d v="2022-03-19T00:00:00"/>
        <d v="2022-03-21T00:00:00"/>
        <d v="2022-03-23T00:00:00"/>
        <d v="2022-03-25T00:00:00"/>
        <d v="2022-03-27T00:00:00"/>
        <d v="2022-03-29T00:00:00"/>
        <d v="2022-03-31T00:00:00"/>
        <d v="2022-04-02T00:00:00"/>
        <d v="2022-04-04T00:00:00"/>
        <d v="2022-04-06T00:00:00"/>
        <d v="2022-04-08T00:00:00"/>
        <d v="2022-04-10T00:00:00"/>
        <d v="2022-04-12T00:00:00"/>
        <d v="2022-04-14T00:00:00"/>
        <d v="2022-04-16T00:00:00"/>
        <d v="2022-04-18T00:00:00"/>
        <d v="2022-04-20T00:00:00"/>
        <d v="2022-04-22T00:00:00"/>
        <d v="2022-04-24T00:00:00"/>
        <d v="2022-04-26T00:00:00"/>
        <d v="2022-04-28T00:00:00"/>
        <d v="2022-04-30T00:00:00"/>
        <d v="2022-05-02T00:00:00"/>
        <d v="2022-05-04T00:00:00"/>
        <d v="2022-05-06T00:00:00"/>
        <d v="2022-05-08T00:00:00"/>
        <d v="2022-05-10T00:00:00"/>
        <d v="2022-05-12T00:00:00"/>
        <d v="2022-05-14T00:00:00"/>
        <d v="2022-05-16T00:00:00"/>
        <d v="2022-05-18T00:00:00"/>
        <d v="2022-05-20T00:00:00"/>
        <d v="2022-05-22T00:00:00"/>
        <d v="2022-05-24T00:00:00"/>
        <d v="2022-05-26T00:00:00"/>
        <d v="2022-05-28T00:00:00"/>
        <d v="2022-05-30T00:00:00"/>
        <d v="2022-06-01T00:00:00"/>
        <d v="2022-06-03T00:00:00"/>
        <d v="2022-06-05T00:00:00"/>
        <d v="2022-06-07T00:00:00"/>
        <d v="2022-06-09T00:00:00"/>
        <d v="2022-06-11T00:00:00"/>
        <d v="2022-06-13T00:00:00"/>
        <d v="2022-06-15T00:00:00"/>
        <d v="2022-06-17T00:00:00"/>
        <d v="2022-06-19T00:00:00"/>
        <d v="2022-06-21T00:00:00"/>
        <d v="2022-06-23T00:00:00"/>
        <d v="2022-06-25T00:00:00"/>
        <d v="2022-06-27T00:00:00"/>
        <d v="2022-06-29T00:00:00"/>
        <d v="2022-07-01T00:00:00"/>
        <d v="2022-07-03T00:00:00"/>
        <d v="2022-07-05T00:00:00"/>
        <d v="2022-07-07T00:00:00"/>
        <d v="2022-07-09T00:00:00"/>
        <d v="2022-07-11T00:00:00"/>
        <d v="2022-07-13T00:00:00"/>
        <d v="2022-07-15T00:00:00"/>
        <d v="2022-07-17T00:00:00"/>
        <d v="2022-07-19T00:00:00"/>
        <d v="2022-07-21T00:00:00"/>
        <d v="2022-07-23T00:00:00"/>
        <d v="2022-07-25T00:00:00"/>
        <d v="2022-07-27T00:00:00"/>
        <d v="2022-07-29T00:00:00"/>
        <d v="2022-07-31T00:00:00"/>
        <d v="2022-08-02T00:00:00"/>
        <d v="2022-08-04T00:00:00"/>
        <d v="2022-08-06T00:00:00"/>
        <d v="2022-08-08T00:00:00"/>
        <d v="2022-08-10T00:00:00"/>
        <d v="2022-08-12T00:00:00"/>
        <d v="2022-08-14T00:00:00"/>
        <d v="2022-08-16T00:00:00"/>
        <d v="2022-08-18T00:00:00"/>
        <d v="2022-08-20T00:00:00"/>
        <d v="2022-08-22T00:00:00"/>
        <d v="2022-08-24T00:00:00"/>
        <d v="2022-08-26T00:00:00"/>
        <d v="2022-08-28T00:00:00"/>
        <d v="2022-08-30T00:00:00"/>
        <d v="2022-09-01T00:00:00"/>
        <d v="2022-09-03T00:00:00"/>
        <d v="2022-09-05T00:00:00"/>
        <d v="2022-09-07T00:00:00"/>
        <d v="2022-09-09T00:00:00"/>
        <d v="2022-09-11T00:00:00"/>
        <d v="2022-09-13T00:00:00"/>
        <d v="2022-09-15T00:00:00"/>
        <d v="2022-09-17T00:00:00"/>
        <d v="2022-09-19T00:00:00"/>
        <d v="2022-09-21T00:00:00"/>
        <d v="2022-09-23T00:00:00"/>
        <d v="2022-09-25T00:00:00"/>
        <d v="2022-09-27T00:00:00"/>
        <d v="2022-09-29T00:00:00"/>
        <d v="2022-10-01T00:00:00"/>
        <d v="2022-10-03T00:00:00"/>
        <d v="2022-10-05T00:00:00"/>
        <d v="2022-10-07T00:00:00"/>
        <d v="2022-10-09T00:00:00"/>
        <d v="2022-10-11T00:00:00"/>
        <d v="2022-10-13T00:00:00"/>
        <d v="2022-10-15T00:00:00"/>
        <d v="2022-10-17T00:00:00"/>
        <d v="2022-10-19T00:00:00"/>
        <d v="2022-10-21T00:00:00"/>
        <d v="2022-10-23T00:00:00"/>
        <d v="2022-10-25T00:00:00"/>
        <d v="2022-10-27T00:00:00"/>
        <d v="2022-10-29T00:00:00"/>
        <d v="2022-10-31T00:00:00"/>
        <d v="2022-11-02T00:00:00"/>
        <d v="2022-11-04T00:00:00"/>
        <d v="2022-11-06T00:00:00"/>
        <d v="2022-11-08T00:00:00"/>
        <d v="2022-11-10T00:00:00"/>
        <d v="2022-11-12T00:00:00"/>
        <d v="2022-11-14T00:00:00"/>
        <d v="2022-11-16T00:00:00"/>
        <d v="2022-11-18T00:00:00"/>
        <d v="2022-11-20T00:00:00"/>
        <d v="2022-11-22T00:00:00"/>
        <d v="2022-11-24T00:00:00"/>
        <d v="2022-12-14T00:00:00"/>
        <d v="2022-12-16T00:00:00"/>
        <d v="2022-12-18T00:00:00"/>
        <d v="2022-12-20T00:00:00"/>
        <d v="2022-12-22T00:00:00"/>
        <d v="2022-12-24T00:00:00"/>
        <d v="2022-12-26T00:00:00"/>
        <d v="2022-12-28T00:00:00"/>
        <d v="2022-12-30T00:00:00"/>
      </sharedItems>
    </cacheField>
    <cacheField name="Month" numFmtId="0">
      <sharedItems count="24">
        <s v="Jan"/>
        <s v="Feb"/>
        <s v="Mar"/>
        <s v="Apr"/>
        <s v="May"/>
        <s v="Jun"/>
        <s v="Jul"/>
        <s v="Aug"/>
        <s v="Sep"/>
        <s v="Oct"/>
        <s v="Nov"/>
        <s v="Dec"/>
        <s v="Jan-2022" u="1"/>
        <s v="Feb-2022" u="1"/>
        <s v="Mar-2022" u="1"/>
        <s v="Apr-2022" u="1"/>
        <s v="May-2022" u="1"/>
        <s v="Jun-2022" u="1"/>
        <s v="Jul-2022" u="1"/>
        <s v="Aug-2022" u="1"/>
        <s v="Sep-2022" u="1"/>
        <s v="Oct-2022" u="1"/>
        <s v="Nov-2022" u="1"/>
        <s v="Dec-2022" u="1"/>
      </sharedItems>
    </cacheField>
    <cacheField name="Product" numFmtId="0">
      <sharedItems count="5">
        <s v="iphone"/>
        <s v="macbook"/>
        <s v="ipad"/>
        <s v="iwatch"/>
        <s v="airpod"/>
      </sharedItems>
    </cacheField>
    <cacheField name="Region" numFmtId="0">
      <sharedItems count="4">
        <s v="EMEA"/>
        <s v="North America"/>
        <s v="APAC"/>
        <s v="South America"/>
      </sharedItems>
    </cacheField>
    <cacheField name="Sales Method" numFmtId="0">
      <sharedItems count="4">
        <s v="In-store"/>
        <s v="Third Party"/>
        <s v="Online Store"/>
        <s v="Referral"/>
      </sharedItems>
    </cacheField>
    <cacheField name="Price Per Unit" numFmtId="8">
      <sharedItems containsSemiMixedTypes="0" containsString="0" containsNumber="1" containsInteger="1" minValue="0" maxValue="1299" count="5">
        <n v="1099"/>
        <n v="1299"/>
        <n v="599"/>
        <n v="449"/>
        <n v="199"/>
      </sharedItems>
    </cacheField>
    <cacheField name="Cost Per Unit" numFmtId="8">
      <sharedItems containsSemiMixedTypes="0" containsString="0" containsNumber="1" containsInteger="1" minValue="0" maxValue="459" count="5">
        <n v="289"/>
        <n v="459"/>
        <n v="299"/>
        <n v="159"/>
        <n v="39"/>
      </sharedItems>
    </cacheField>
    <cacheField name="Quantity" numFmtId="179">
      <sharedItems containsSemiMixedTypes="0" containsString="0" containsNumber="1" minValue="0" maxValue="497.7" count="100">
        <n v="313.5"/>
        <n v="300.7"/>
        <n v="482.2"/>
        <n v="109"/>
        <n v="450.9"/>
        <n v="270.9"/>
        <n v="443.1"/>
        <n v="459.3"/>
        <n v="222.5"/>
        <n v="479.4"/>
        <n v="301.2"/>
        <n v="315.1"/>
        <n v="142.4"/>
        <n v="311"/>
        <n v="378.2"/>
        <n v="291.9"/>
        <n v="479.3"/>
        <n v="115.1"/>
        <n v="347.8"/>
        <n v="222.4"/>
        <n v="276.5"/>
        <n v="151.2"/>
        <n v="171.6"/>
        <n v="365.4"/>
        <n v="156.1"/>
        <n v="208.3"/>
        <n v="267.3"/>
        <n v="338.5"/>
        <n v="321.8"/>
        <n v="368.7"/>
        <n v="126.9"/>
        <n v="390"/>
        <n v="388.3"/>
        <n v="112"/>
        <n v="331.7"/>
        <n v="171"/>
        <n v="167.2"/>
        <n v="357.8"/>
        <n v="396.2"/>
        <n v="314.2"/>
        <n v="497.7"/>
        <n v="125.4"/>
        <n v="411.2"/>
        <n v="194.3"/>
        <n v="167.9"/>
        <n v="132.2"/>
        <n v="139.4"/>
        <n v="106"/>
        <n v="271.9"/>
        <n v="236"/>
        <n v="339.8"/>
        <n v="403.6"/>
        <n v="218.6"/>
        <n v="462.2"/>
        <n v="210.9"/>
        <n v="453.4"/>
        <n v="471.9"/>
        <n v="128.3"/>
        <n v="198.2"/>
        <n v="300.3"/>
        <n v="129.4"/>
        <n v="341.7"/>
        <n v="155.6"/>
        <n v="318.4"/>
        <n v="307.6"/>
        <n v="187.3"/>
        <n v="157.4"/>
        <n v="219.3"/>
        <n v="133"/>
        <n v="357.6"/>
        <n v="400.6"/>
        <n v="433.1"/>
        <n v="205.9"/>
        <n v="436"/>
        <n v="114.7"/>
        <n v="213.8"/>
        <n v="124"/>
        <n v="285.1"/>
        <n v="228.9"/>
        <n v="361"/>
        <n v="425.7"/>
        <n v="233.3"/>
        <n v="381.2"/>
        <n v="415.3"/>
        <n v="250.4"/>
        <n v="280.1"/>
        <n v="214.9"/>
        <n v="319.2"/>
        <n v="209.9"/>
        <n v="197.9"/>
        <n v="122.2"/>
        <n v="379.3"/>
        <n v="120.8"/>
        <n v="454.3"/>
        <n v="245.8"/>
        <n v="285.5"/>
        <n v="242.1"/>
        <n v="133.9"/>
        <n v="288.6"/>
        <n v="200.1"/>
      </sharedItems>
    </cacheField>
    <cacheField name="Revenues" numFmtId="8">
      <sharedItems containsSemiMixedTypes="0" containsString="0" containsNumber="1" minValue="0" maxValue="626377.8" count="100">
        <n v="344536.5"/>
        <n v="330469.3"/>
        <n v="626377.8"/>
        <n v="65291"/>
        <n v="202454.1"/>
        <n v="53909.1"/>
        <n v="88176.9"/>
        <n v="91400.7"/>
        <n v="244527.5"/>
        <n v="622740.6"/>
        <n v="391258.8"/>
        <n v="62704.9"/>
        <n v="156497.6"/>
        <n v="139639"/>
        <n v="226541.8"/>
        <n v="131063.1"/>
        <n v="526750.7"/>
        <n v="51679.9"/>
        <n v="382232.2"/>
        <n v="288897.6"/>
        <n v="303873.5"/>
        <n v="166168.8"/>
        <n v="34148.4"/>
        <n v="218874.6"/>
        <n v="202773.9"/>
        <n v="270581.7"/>
        <n v="347222.7"/>
        <n v="202761.5"/>
        <n v="353658.2"/>
        <n v="73371.3"/>
        <n v="164843.1"/>
        <n v="233610"/>
        <n v="504401.7"/>
        <n v="145488"/>
        <n v="66008.3"/>
        <n v="34029"/>
        <n v="217192.8"/>
        <n v="71202.2"/>
        <n v="177893.8"/>
        <n v="141075.8"/>
        <n v="298122.3"/>
        <n v="75114.6"/>
        <n v="81828.8"/>
        <n v="38665.7"/>
        <n v="33412.1"/>
        <n v="145287.8"/>
        <n v="153200.6"/>
        <n v="116494"/>
        <n v="162868.1"/>
        <n v="46964"/>
        <n v="441400.2"/>
        <n v="241756.4"/>
        <n v="283961.4"/>
        <n v="600397.8"/>
        <n v="94694.1"/>
        <n v="203576.6"/>
        <n v="93908.1"/>
        <n v="57606.7"/>
        <n v="118721.8"/>
        <n v="179879.7"/>
        <n v="142210.6"/>
        <n v="375528.3"/>
        <n v="93204.4"/>
        <n v="413601.6"/>
        <n v="61212.4"/>
        <n v="243302.7"/>
        <n v="31322.6"/>
        <n v="98465.7"/>
        <n v="26467"/>
        <n v="464522.4"/>
        <n v="79719.4"/>
        <n v="86186.9"/>
        <n v="226284.1"/>
        <n v="86764"/>
        <n v="68705.3"/>
        <n v="234966.2"/>
        <n v="161076"/>
        <n v="56734.9"/>
        <n v="45551.1"/>
        <n v="71839"/>
        <n v="467844.3"/>
        <n v="46426.7"/>
        <n v="228338.8"/>
        <n v="539474.7"/>
        <n v="275189.6"/>
        <n v="125764.9"/>
        <n v="42765.1"/>
        <n v="191200.8"/>
        <n v="272660.1"/>
        <n v="217492.1"/>
        <n v="134297.8"/>
        <n v="75480.7"/>
        <n v="54239.2"/>
        <n v="203980.7"/>
        <n v="48914.2"/>
        <n v="56814.5"/>
        <n v="48177.9"/>
        <n v="80206.1"/>
        <n v="172871.4"/>
        <n v="39819.9"/>
      </sharedItems>
    </cacheField>
    <cacheField name="Expenses" numFmtId="8">
      <sharedItems containsSemiMixedTypes="0" containsString="0" containsNumber="1" minValue="0" maxValue="221329.8" count="100">
        <n v="90601.5"/>
        <n v="86902.3"/>
        <n v="221329.8"/>
        <n v="32591"/>
        <n v="71693.1"/>
        <n v="10565.1"/>
        <n v="17280.9"/>
        <n v="17912.7"/>
        <n v="64302.5"/>
        <n v="220044.6"/>
        <n v="138250.8"/>
        <n v="12288.9"/>
        <n v="41153.6"/>
        <n v="49449"/>
        <n v="113081.8"/>
        <n v="46412.1"/>
        <n v="138517.7"/>
        <n v="18300.9"/>
        <n v="100514.2"/>
        <n v="102081.6"/>
        <n v="79908.5"/>
        <n v="43696.8"/>
        <n v="6692.4"/>
        <n v="109254.6"/>
        <n v="71649.9"/>
        <n v="95609.7"/>
        <n v="122690.7"/>
        <n v="101211.5"/>
        <n v="93000.2"/>
        <n v="14379.3"/>
        <n v="58247.1"/>
        <n v="116610"/>
        <n v="178229.7"/>
        <n v="51408"/>
        <n v="12936.3"/>
        <n v="6669"/>
        <n v="76744.8"/>
        <n v="13954.2"/>
        <n v="62995.8"/>
        <n v="49957.8"/>
        <n v="148812.3"/>
        <n v="37494.6"/>
        <n v="16036.8"/>
        <n v="7577.7"/>
        <n v="6548.1"/>
        <n v="38205.8"/>
        <n v="40286.6"/>
        <n v="30634"/>
        <n v="81298.1"/>
        <n v="9204"/>
        <n v="155968.2"/>
        <n v="120676.4"/>
        <n v="100337.4"/>
        <n v="212149.8"/>
        <n v="33533.1"/>
        <n v="72090.6"/>
        <n v="18404.1"/>
        <n v="20399.7"/>
        <n v="59261.8"/>
        <n v="89789.7"/>
        <n v="37396.6"/>
        <n v="98751.3"/>
        <n v="46524.4"/>
        <n v="146145.6"/>
        <n v="11996.4"/>
        <n v="85970.7"/>
        <n v="6138.6"/>
        <n v="34868.7"/>
        <n v="5187"/>
        <n v="164138.4"/>
        <n v="15623.4"/>
        <n v="16890.9"/>
        <n v="59505.1"/>
        <n v="17004"/>
        <n v="34295.3"/>
        <n v="61788.2"/>
        <n v="56916"/>
        <n v="11118.9"/>
        <n v="8927.1"/>
        <n v="14079"/>
        <n v="123027.3"/>
        <n v="9098.7"/>
        <n v="113978.8"/>
        <n v="190622.7"/>
        <n v="72365.6"/>
        <n v="44535.9"/>
        <n v="8381.1"/>
        <n v="95440.8"/>
        <n v="96344.1"/>
        <n v="57193.1"/>
        <n v="35315.8"/>
        <n v="14792.7"/>
        <n v="19207.2"/>
        <n v="72233.7"/>
        <n v="9586.2"/>
        <n v="11134.5"/>
        <n v="9441.9"/>
        <n v="40036.1"/>
        <n v="86291.4"/>
        <n v="7803.9"/>
      </sharedItems>
    </cacheField>
    <cacheField name="Profit" numFmtId="180">
      <sharedItems containsSemiMixedTypes="0" containsString="0" containsNumber="1" containsInteger="1" minValue="0" maxValue="405048" count="100">
        <n v="253935"/>
        <n v="243567"/>
        <n v="405048"/>
        <n v="32700"/>
        <n v="130761"/>
        <n v="43344"/>
        <n v="70896"/>
        <n v="73488"/>
        <n v="180225"/>
        <n v="402696"/>
        <n v="253008"/>
        <n v="50416"/>
        <n v="115344"/>
        <n v="90190"/>
        <n v="113460"/>
        <n v="84651"/>
        <n v="388233"/>
        <n v="33379"/>
        <n v="281718"/>
        <n v="186816"/>
        <n v="223965"/>
        <n v="122472"/>
        <n v="27456"/>
        <n v="109620"/>
        <n v="131124"/>
        <n v="174972"/>
        <n v="224532"/>
        <n v="101550"/>
        <n v="260658"/>
        <n v="58992"/>
        <n v="106596"/>
        <n v="117000"/>
        <n v="326172"/>
        <n v="94080"/>
        <n v="53072"/>
        <n v="27360"/>
        <n v="140448"/>
        <n v="57248"/>
        <n v="114898"/>
        <n v="91118"/>
        <n v="149310"/>
        <n v="37620"/>
        <n v="65792"/>
        <n v="31088"/>
        <n v="26864"/>
        <n v="107082"/>
        <n v="112914"/>
        <n v="85860"/>
        <n v="81570"/>
        <n v="37760"/>
        <n v="285432"/>
        <n v="121080"/>
        <n v="183624"/>
        <n v="388248"/>
        <n v="61161"/>
        <n v="131486"/>
        <n v="75504"/>
        <n v="37207"/>
        <n v="59460"/>
        <n v="90090"/>
        <n v="104814"/>
        <n v="276777"/>
        <n v="46680"/>
        <n v="267456"/>
        <n v="49216"/>
        <n v="157332"/>
        <n v="25184"/>
        <n v="63597"/>
        <n v="21280"/>
        <n v="300384"/>
        <n v="64096"/>
        <n v="69296"/>
        <n v="166779"/>
        <n v="69760"/>
        <n v="34410"/>
        <n v="173178"/>
        <n v="104160"/>
        <n v="45616"/>
        <n v="36624"/>
        <n v="57760"/>
        <n v="344817"/>
        <n v="37328"/>
        <n v="114360"/>
        <n v="348852"/>
        <n v="202824"/>
        <n v="81229"/>
        <n v="34384"/>
        <n v="95760"/>
        <n v="176316"/>
        <n v="160299"/>
        <n v="98982"/>
        <n v="60688"/>
        <n v="35032"/>
        <n v="131747"/>
        <n v="39328"/>
        <n v="45680"/>
        <n v="38736"/>
        <n v="40170"/>
        <n v="86580"/>
        <n v="32016"/>
      </sharedItems>
    </cacheField>
    <cacheField name="Expense/Revenue Ratio" numFmtId="2">
      <sharedItems containsSemiMixedTypes="0" containsString="0" containsNumber="1" minValue="0" maxValue="0.499165275459099" count="6">
        <n v="0.262966333030027"/>
        <n v="0.353348729792148"/>
        <n v="0.499165275459099"/>
        <n v="0.354120267260579"/>
        <n v="0.195979899497487"/>
        <n v="0.499165275459098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9">
  <r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1"/>
    <x v="1"/>
    <x v="0"/>
    <x v="0"/>
    <x v="1"/>
    <x v="1"/>
    <x v="1"/>
    <x v="1"/>
    <x v="0"/>
  </r>
  <r>
    <x v="2"/>
    <x v="0"/>
    <x v="0"/>
    <x v="1"/>
    <x v="2"/>
    <x v="2"/>
    <x v="1"/>
    <x v="1"/>
    <x v="2"/>
    <x v="2"/>
    <x v="2"/>
    <x v="2"/>
    <x v="1"/>
  </r>
  <r>
    <x v="3"/>
    <x v="0"/>
    <x v="0"/>
    <x v="2"/>
    <x v="3"/>
    <x v="3"/>
    <x v="2"/>
    <x v="2"/>
    <x v="3"/>
    <x v="3"/>
    <x v="3"/>
    <x v="3"/>
    <x v="2"/>
  </r>
  <r>
    <x v="4"/>
    <x v="0"/>
    <x v="0"/>
    <x v="3"/>
    <x v="3"/>
    <x v="2"/>
    <x v="3"/>
    <x v="3"/>
    <x v="4"/>
    <x v="4"/>
    <x v="4"/>
    <x v="4"/>
    <x v="3"/>
  </r>
  <r>
    <x v="5"/>
    <x v="0"/>
    <x v="0"/>
    <x v="4"/>
    <x v="3"/>
    <x v="2"/>
    <x v="4"/>
    <x v="4"/>
    <x v="5"/>
    <x v="5"/>
    <x v="5"/>
    <x v="5"/>
    <x v="4"/>
  </r>
  <r>
    <x v="6"/>
    <x v="1"/>
    <x v="0"/>
    <x v="4"/>
    <x v="3"/>
    <x v="0"/>
    <x v="4"/>
    <x v="4"/>
    <x v="6"/>
    <x v="6"/>
    <x v="6"/>
    <x v="6"/>
    <x v="4"/>
  </r>
  <r>
    <x v="7"/>
    <x v="2"/>
    <x v="0"/>
    <x v="4"/>
    <x v="0"/>
    <x v="2"/>
    <x v="4"/>
    <x v="4"/>
    <x v="7"/>
    <x v="7"/>
    <x v="7"/>
    <x v="7"/>
    <x v="4"/>
  </r>
  <r>
    <x v="8"/>
    <x v="3"/>
    <x v="0"/>
    <x v="0"/>
    <x v="1"/>
    <x v="2"/>
    <x v="0"/>
    <x v="0"/>
    <x v="8"/>
    <x v="8"/>
    <x v="8"/>
    <x v="8"/>
    <x v="0"/>
  </r>
  <r>
    <x v="9"/>
    <x v="4"/>
    <x v="0"/>
    <x v="1"/>
    <x v="2"/>
    <x v="0"/>
    <x v="1"/>
    <x v="1"/>
    <x v="9"/>
    <x v="9"/>
    <x v="9"/>
    <x v="9"/>
    <x v="1"/>
  </r>
  <r>
    <x v="10"/>
    <x v="5"/>
    <x v="0"/>
    <x v="1"/>
    <x v="2"/>
    <x v="0"/>
    <x v="1"/>
    <x v="1"/>
    <x v="10"/>
    <x v="10"/>
    <x v="10"/>
    <x v="10"/>
    <x v="1"/>
  </r>
  <r>
    <x v="11"/>
    <x v="6"/>
    <x v="0"/>
    <x v="4"/>
    <x v="2"/>
    <x v="0"/>
    <x v="4"/>
    <x v="4"/>
    <x v="11"/>
    <x v="11"/>
    <x v="11"/>
    <x v="11"/>
    <x v="4"/>
  </r>
  <r>
    <x v="12"/>
    <x v="7"/>
    <x v="0"/>
    <x v="0"/>
    <x v="0"/>
    <x v="0"/>
    <x v="0"/>
    <x v="0"/>
    <x v="12"/>
    <x v="12"/>
    <x v="12"/>
    <x v="12"/>
    <x v="0"/>
  </r>
  <r>
    <x v="13"/>
    <x v="8"/>
    <x v="0"/>
    <x v="3"/>
    <x v="1"/>
    <x v="0"/>
    <x v="3"/>
    <x v="3"/>
    <x v="13"/>
    <x v="13"/>
    <x v="13"/>
    <x v="13"/>
    <x v="3"/>
  </r>
  <r>
    <x v="14"/>
    <x v="9"/>
    <x v="1"/>
    <x v="2"/>
    <x v="2"/>
    <x v="0"/>
    <x v="2"/>
    <x v="2"/>
    <x v="14"/>
    <x v="14"/>
    <x v="14"/>
    <x v="14"/>
    <x v="2"/>
  </r>
  <r>
    <x v="15"/>
    <x v="10"/>
    <x v="1"/>
    <x v="3"/>
    <x v="2"/>
    <x v="3"/>
    <x v="3"/>
    <x v="3"/>
    <x v="15"/>
    <x v="15"/>
    <x v="15"/>
    <x v="15"/>
    <x v="3"/>
  </r>
  <r>
    <x v="16"/>
    <x v="11"/>
    <x v="1"/>
    <x v="0"/>
    <x v="2"/>
    <x v="3"/>
    <x v="0"/>
    <x v="0"/>
    <x v="16"/>
    <x v="16"/>
    <x v="16"/>
    <x v="16"/>
    <x v="0"/>
  </r>
  <r>
    <x v="17"/>
    <x v="12"/>
    <x v="1"/>
    <x v="3"/>
    <x v="0"/>
    <x v="1"/>
    <x v="3"/>
    <x v="3"/>
    <x v="17"/>
    <x v="17"/>
    <x v="17"/>
    <x v="17"/>
    <x v="3"/>
  </r>
  <r>
    <x v="18"/>
    <x v="13"/>
    <x v="1"/>
    <x v="0"/>
    <x v="2"/>
    <x v="3"/>
    <x v="0"/>
    <x v="0"/>
    <x v="18"/>
    <x v="18"/>
    <x v="18"/>
    <x v="18"/>
    <x v="0"/>
  </r>
  <r>
    <x v="19"/>
    <x v="13"/>
    <x v="1"/>
    <x v="1"/>
    <x v="2"/>
    <x v="3"/>
    <x v="1"/>
    <x v="1"/>
    <x v="19"/>
    <x v="19"/>
    <x v="19"/>
    <x v="19"/>
    <x v="1"/>
  </r>
  <r>
    <x v="20"/>
    <x v="13"/>
    <x v="1"/>
    <x v="0"/>
    <x v="2"/>
    <x v="2"/>
    <x v="0"/>
    <x v="0"/>
    <x v="20"/>
    <x v="20"/>
    <x v="20"/>
    <x v="20"/>
    <x v="0"/>
  </r>
  <r>
    <x v="21"/>
    <x v="13"/>
    <x v="1"/>
    <x v="0"/>
    <x v="0"/>
    <x v="2"/>
    <x v="0"/>
    <x v="0"/>
    <x v="21"/>
    <x v="21"/>
    <x v="21"/>
    <x v="21"/>
    <x v="0"/>
  </r>
  <r>
    <x v="22"/>
    <x v="13"/>
    <x v="1"/>
    <x v="4"/>
    <x v="0"/>
    <x v="2"/>
    <x v="4"/>
    <x v="4"/>
    <x v="22"/>
    <x v="22"/>
    <x v="22"/>
    <x v="22"/>
    <x v="4"/>
  </r>
  <r>
    <x v="23"/>
    <x v="14"/>
    <x v="2"/>
    <x v="2"/>
    <x v="1"/>
    <x v="2"/>
    <x v="2"/>
    <x v="2"/>
    <x v="23"/>
    <x v="23"/>
    <x v="23"/>
    <x v="23"/>
    <x v="5"/>
  </r>
  <r>
    <x v="24"/>
    <x v="14"/>
    <x v="2"/>
    <x v="1"/>
    <x v="1"/>
    <x v="0"/>
    <x v="1"/>
    <x v="1"/>
    <x v="24"/>
    <x v="24"/>
    <x v="24"/>
    <x v="24"/>
    <x v="1"/>
  </r>
  <r>
    <x v="25"/>
    <x v="14"/>
    <x v="2"/>
    <x v="1"/>
    <x v="0"/>
    <x v="2"/>
    <x v="1"/>
    <x v="1"/>
    <x v="25"/>
    <x v="25"/>
    <x v="25"/>
    <x v="25"/>
    <x v="1"/>
  </r>
  <r>
    <x v="26"/>
    <x v="14"/>
    <x v="2"/>
    <x v="1"/>
    <x v="1"/>
    <x v="0"/>
    <x v="1"/>
    <x v="1"/>
    <x v="26"/>
    <x v="26"/>
    <x v="26"/>
    <x v="26"/>
    <x v="1"/>
  </r>
  <r>
    <x v="27"/>
    <x v="15"/>
    <x v="2"/>
    <x v="2"/>
    <x v="1"/>
    <x v="0"/>
    <x v="2"/>
    <x v="2"/>
    <x v="27"/>
    <x v="27"/>
    <x v="27"/>
    <x v="27"/>
    <x v="2"/>
  </r>
  <r>
    <x v="28"/>
    <x v="16"/>
    <x v="2"/>
    <x v="0"/>
    <x v="2"/>
    <x v="2"/>
    <x v="0"/>
    <x v="0"/>
    <x v="28"/>
    <x v="28"/>
    <x v="28"/>
    <x v="28"/>
    <x v="0"/>
  </r>
  <r>
    <x v="29"/>
    <x v="17"/>
    <x v="2"/>
    <x v="4"/>
    <x v="1"/>
    <x v="3"/>
    <x v="4"/>
    <x v="4"/>
    <x v="29"/>
    <x v="29"/>
    <x v="29"/>
    <x v="29"/>
    <x v="4"/>
  </r>
  <r>
    <x v="30"/>
    <x v="18"/>
    <x v="2"/>
    <x v="1"/>
    <x v="0"/>
    <x v="1"/>
    <x v="1"/>
    <x v="1"/>
    <x v="30"/>
    <x v="30"/>
    <x v="30"/>
    <x v="30"/>
    <x v="1"/>
  </r>
  <r>
    <x v="31"/>
    <x v="19"/>
    <x v="2"/>
    <x v="2"/>
    <x v="3"/>
    <x v="2"/>
    <x v="2"/>
    <x v="2"/>
    <x v="31"/>
    <x v="31"/>
    <x v="31"/>
    <x v="31"/>
    <x v="2"/>
  </r>
  <r>
    <x v="32"/>
    <x v="20"/>
    <x v="2"/>
    <x v="1"/>
    <x v="3"/>
    <x v="1"/>
    <x v="1"/>
    <x v="1"/>
    <x v="32"/>
    <x v="32"/>
    <x v="32"/>
    <x v="32"/>
    <x v="1"/>
  </r>
  <r>
    <x v="33"/>
    <x v="21"/>
    <x v="2"/>
    <x v="1"/>
    <x v="3"/>
    <x v="2"/>
    <x v="1"/>
    <x v="1"/>
    <x v="33"/>
    <x v="33"/>
    <x v="33"/>
    <x v="33"/>
    <x v="1"/>
  </r>
  <r>
    <x v="34"/>
    <x v="22"/>
    <x v="2"/>
    <x v="4"/>
    <x v="3"/>
    <x v="0"/>
    <x v="4"/>
    <x v="4"/>
    <x v="34"/>
    <x v="34"/>
    <x v="34"/>
    <x v="34"/>
    <x v="4"/>
  </r>
  <r>
    <x v="35"/>
    <x v="23"/>
    <x v="3"/>
    <x v="4"/>
    <x v="1"/>
    <x v="0"/>
    <x v="4"/>
    <x v="4"/>
    <x v="35"/>
    <x v="35"/>
    <x v="35"/>
    <x v="35"/>
    <x v="4"/>
  </r>
  <r>
    <x v="36"/>
    <x v="24"/>
    <x v="3"/>
    <x v="1"/>
    <x v="3"/>
    <x v="2"/>
    <x v="1"/>
    <x v="1"/>
    <x v="36"/>
    <x v="36"/>
    <x v="36"/>
    <x v="36"/>
    <x v="1"/>
  </r>
  <r>
    <x v="37"/>
    <x v="25"/>
    <x v="3"/>
    <x v="4"/>
    <x v="1"/>
    <x v="2"/>
    <x v="4"/>
    <x v="4"/>
    <x v="37"/>
    <x v="37"/>
    <x v="37"/>
    <x v="37"/>
    <x v="4"/>
  </r>
  <r>
    <x v="38"/>
    <x v="26"/>
    <x v="3"/>
    <x v="3"/>
    <x v="3"/>
    <x v="2"/>
    <x v="3"/>
    <x v="3"/>
    <x v="38"/>
    <x v="38"/>
    <x v="38"/>
    <x v="38"/>
    <x v="3"/>
  </r>
  <r>
    <x v="39"/>
    <x v="27"/>
    <x v="3"/>
    <x v="3"/>
    <x v="3"/>
    <x v="2"/>
    <x v="3"/>
    <x v="3"/>
    <x v="39"/>
    <x v="39"/>
    <x v="39"/>
    <x v="39"/>
    <x v="3"/>
  </r>
  <r>
    <x v="40"/>
    <x v="28"/>
    <x v="3"/>
    <x v="2"/>
    <x v="2"/>
    <x v="1"/>
    <x v="2"/>
    <x v="2"/>
    <x v="40"/>
    <x v="40"/>
    <x v="40"/>
    <x v="40"/>
    <x v="2"/>
  </r>
  <r>
    <x v="41"/>
    <x v="29"/>
    <x v="3"/>
    <x v="2"/>
    <x v="3"/>
    <x v="3"/>
    <x v="2"/>
    <x v="2"/>
    <x v="41"/>
    <x v="41"/>
    <x v="41"/>
    <x v="41"/>
    <x v="5"/>
  </r>
  <r>
    <x v="42"/>
    <x v="30"/>
    <x v="3"/>
    <x v="4"/>
    <x v="1"/>
    <x v="3"/>
    <x v="4"/>
    <x v="4"/>
    <x v="42"/>
    <x v="42"/>
    <x v="42"/>
    <x v="42"/>
    <x v="4"/>
  </r>
  <r>
    <x v="43"/>
    <x v="31"/>
    <x v="3"/>
    <x v="4"/>
    <x v="1"/>
    <x v="0"/>
    <x v="4"/>
    <x v="4"/>
    <x v="43"/>
    <x v="43"/>
    <x v="43"/>
    <x v="43"/>
    <x v="4"/>
  </r>
  <r>
    <x v="44"/>
    <x v="32"/>
    <x v="3"/>
    <x v="4"/>
    <x v="2"/>
    <x v="0"/>
    <x v="4"/>
    <x v="4"/>
    <x v="44"/>
    <x v="44"/>
    <x v="44"/>
    <x v="44"/>
    <x v="4"/>
  </r>
  <r>
    <x v="45"/>
    <x v="33"/>
    <x v="3"/>
    <x v="0"/>
    <x v="3"/>
    <x v="0"/>
    <x v="0"/>
    <x v="0"/>
    <x v="45"/>
    <x v="45"/>
    <x v="45"/>
    <x v="45"/>
    <x v="0"/>
  </r>
  <r>
    <x v="46"/>
    <x v="34"/>
    <x v="3"/>
    <x v="0"/>
    <x v="2"/>
    <x v="0"/>
    <x v="0"/>
    <x v="0"/>
    <x v="46"/>
    <x v="46"/>
    <x v="46"/>
    <x v="46"/>
    <x v="0"/>
  </r>
  <r>
    <x v="47"/>
    <x v="35"/>
    <x v="3"/>
    <x v="0"/>
    <x v="1"/>
    <x v="0"/>
    <x v="0"/>
    <x v="0"/>
    <x v="47"/>
    <x v="47"/>
    <x v="47"/>
    <x v="47"/>
    <x v="0"/>
  </r>
  <r>
    <x v="48"/>
    <x v="36"/>
    <x v="3"/>
    <x v="2"/>
    <x v="2"/>
    <x v="3"/>
    <x v="2"/>
    <x v="2"/>
    <x v="48"/>
    <x v="48"/>
    <x v="48"/>
    <x v="48"/>
    <x v="5"/>
  </r>
  <r>
    <x v="49"/>
    <x v="37"/>
    <x v="3"/>
    <x v="4"/>
    <x v="1"/>
    <x v="1"/>
    <x v="4"/>
    <x v="4"/>
    <x v="49"/>
    <x v="49"/>
    <x v="49"/>
    <x v="49"/>
    <x v="4"/>
  </r>
  <r>
    <x v="50"/>
    <x v="38"/>
    <x v="4"/>
    <x v="1"/>
    <x v="2"/>
    <x v="1"/>
    <x v="1"/>
    <x v="1"/>
    <x v="50"/>
    <x v="50"/>
    <x v="50"/>
    <x v="50"/>
    <x v="1"/>
  </r>
  <r>
    <x v="51"/>
    <x v="39"/>
    <x v="4"/>
    <x v="2"/>
    <x v="2"/>
    <x v="2"/>
    <x v="2"/>
    <x v="2"/>
    <x v="51"/>
    <x v="51"/>
    <x v="51"/>
    <x v="51"/>
    <x v="2"/>
  </r>
  <r>
    <x v="52"/>
    <x v="40"/>
    <x v="4"/>
    <x v="1"/>
    <x v="3"/>
    <x v="2"/>
    <x v="1"/>
    <x v="1"/>
    <x v="52"/>
    <x v="52"/>
    <x v="52"/>
    <x v="52"/>
    <x v="1"/>
  </r>
  <r>
    <x v="53"/>
    <x v="41"/>
    <x v="4"/>
    <x v="1"/>
    <x v="3"/>
    <x v="1"/>
    <x v="1"/>
    <x v="1"/>
    <x v="53"/>
    <x v="53"/>
    <x v="53"/>
    <x v="53"/>
    <x v="1"/>
  </r>
  <r>
    <x v="54"/>
    <x v="42"/>
    <x v="4"/>
    <x v="3"/>
    <x v="1"/>
    <x v="2"/>
    <x v="3"/>
    <x v="3"/>
    <x v="54"/>
    <x v="54"/>
    <x v="54"/>
    <x v="54"/>
    <x v="3"/>
  </r>
  <r>
    <x v="55"/>
    <x v="43"/>
    <x v="4"/>
    <x v="3"/>
    <x v="2"/>
    <x v="1"/>
    <x v="3"/>
    <x v="3"/>
    <x v="55"/>
    <x v="55"/>
    <x v="55"/>
    <x v="55"/>
    <x v="3"/>
  </r>
  <r>
    <x v="56"/>
    <x v="44"/>
    <x v="4"/>
    <x v="4"/>
    <x v="3"/>
    <x v="1"/>
    <x v="4"/>
    <x v="4"/>
    <x v="56"/>
    <x v="56"/>
    <x v="56"/>
    <x v="56"/>
    <x v="4"/>
  </r>
  <r>
    <x v="57"/>
    <x v="45"/>
    <x v="4"/>
    <x v="3"/>
    <x v="2"/>
    <x v="1"/>
    <x v="3"/>
    <x v="3"/>
    <x v="57"/>
    <x v="57"/>
    <x v="57"/>
    <x v="57"/>
    <x v="3"/>
  </r>
  <r>
    <x v="58"/>
    <x v="46"/>
    <x v="4"/>
    <x v="2"/>
    <x v="1"/>
    <x v="1"/>
    <x v="2"/>
    <x v="2"/>
    <x v="58"/>
    <x v="58"/>
    <x v="58"/>
    <x v="58"/>
    <x v="5"/>
  </r>
  <r>
    <x v="59"/>
    <x v="47"/>
    <x v="4"/>
    <x v="2"/>
    <x v="2"/>
    <x v="1"/>
    <x v="2"/>
    <x v="2"/>
    <x v="59"/>
    <x v="59"/>
    <x v="59"/>
    <x v="59"/>
    <x v="5"/>
  </r>
  <r>
    <x v="60"/>
    <x v="48"/>
    <x v="4"/>
    <x v="0"/>
    <x v="3"/>
    <x v="1"/>
    <x v="0"/>
    <x v="0"/>
    <x v="60"/>
    <x v="60"/>
    <x v="60"/>
    <x v="60"/>
    <x v="0"/>
  </r>
  <r>
    <x v="61"/>
    <x v="49"/>
    <x v="4"/>
    <x v="0"/>
    <x v="2"/>
    <x v="1"/>
    <x v="0"/>
    <x v="0"/>
    <x v="61"/>
    <x v="61"/>
    <x v="61"/>
    <x v="61"/>
    <x v="0"/>
  </r>
  <r>
    <x v="62"/>
    <x v="50"/>
    <x v="4"/>
    <x v="2"/>
    <x v="1"/>
    <x v="0"/>
    <x v="2"/>
    <x v="2"/>
    <x v="62"/>
    <x v="62"/>
    <x v="62"/>
    <x v="62"/>
    <x v="2"/>
  </r>
  <r>
    <x v="63"/>
    <x v="51"/>
    <x v="4"/>
    <x v="1"/>
    <x v="2"/>
    <x v="0"/>
    <x v="1"/>
    <x v="1"/>
    <x v="63"/>
    <x v="63"/>
    <x v="63"/>
    <x v="63"/>
    <x v="1"/>
  </r>
  <r>
    <x v="64"/>
    <x v="52"/>
    <x v="4"/>
    <x v="4"/>
    <x v="3"/>
    <x v="0"/>
    <x v="4"/>
    <x v="4"/>
    <x v="64"/>
    <x v="64"/>
    <x v="64"/>
    <x v="64"/>
    <x v="4"/>
  </r>
  <r>
    <x v="65"/>
    <x v="53"/>
    <x v="5"/>
    <x v="1"/>
    <x v="2"/>
    <x v="0"/>
    <x v="1"/>
    <x v="1"/>
    <x v="65"/>
    <x v="65"/>
    <x v="65"/>
    <x v="65"/>
    <x v="1"/>
  </r>
  <r>
    <x v="66"/>
    <x v="54"/>
    <x v="5"/>
    <x v="4"/>
    <x v="1"/>
    <x v="0"/>
    <x v="4"/>
    <x v="4"/>
    <x v="66"/>
    <x v="66"/>
    <x v="66"/>
    <x v="66"/>
    <x v="4"/>
  </r>
  <r>
    <x v="67"/>
    <x v="55"/>
    <x v="5"/>
    <x v="3"/>
    <x v="2"/>
    <x v="0"/>
    <x v="3"/>
    <x v="3"/>
    <x v="67"/>
    <x v="67"/>
    <x v="67"/>
    <x v="67"/>
    <x v="3"/>
  </r>
  <r>
    <x v="68"/>
    <x v="56"/>
    <x v="5"/>
    <x v="4"/>
    <x v="3"/>
    <x v="2"/>
    <x v="4"/>
    <x v="4"/>
    <x v="68"/>
    <x v="68"/>
    <x v="68"/>
    <x v="68"/>
    <x v="4"/>
  </r>
  <r>
    <x v="69"/>
    <x v="57"/>
    <x v="5"/>
    <x v="1"/>
    <x v="3"/>
    <x v="2"/>
    <x v="1"/>
    <x v="1"/>
    <x v="69"/>
    <x v="69"/>
    <x v="69"/>
    <x v="69"/>
    <x v="1"/>
  </r>
  <r>
    <x v="70"/>
    <x v="58"/>
    <x v="5"/>
    <x v="4"/>
    <x v="0"/>
    <x v="0"/>
    <x v="4"/>
    <x v="4"/>
    <x v="70"/>
    <x v="70"/>
    <x v="70"/>
    <x v="70"/>
    <x v="4"/>
  </r>
  <r>
    <x v="71"/>
    <x v="59"/>
    <x v="5"/>
    <x v="4"/>
    <x v="3"/>
    <x v="1"/>
    <x v="4"/>
    <x v="4"/>
    <x v="71"/>
    <x v="71"/>
    <x v="71"/>
    <x v="71"/>
    <x v="4"/>
  </r>
  <r>
    <x v="72"/>
    <x v="60"/>
    <x v="5"/>
    <x v="0"/>
    <x v="1"/>
    <x v="1"/>
    <x v="0"/>
    <x v="0"/>
    <x v="72"/>
    <x v="72"/>
    <x v="72"/>
    <x v="72"/>
    <x v="0"/>
  </r>
  <r>
    <x v="73"/>
    <x v="61"/>
    <x v="5"/>
    <x v="4"/>
    <x v="1"/>
    <x v="1"/>
    <x v="4"/>
    <x v="4"/>
    <x v="73"/>
    <x v="73"/>
    <x v="73"/>
    <x v="73"/>
    <x v="4"/>
  </r>
  <r>
    <x v="74"/>
    <x v="62"/>
    <x v="5"/>
    <x v="2"/>
    <x v="0"/>
    <x v="1"/>
    <x v="2"/>
    <x v="2"/>
    <x v="74"/>
    <x v="74"/>
    <x v="74"/>
    <x v="74"/>
    <x v="2"/>
  </r>
  <r>
    <x v="75"/>
    <x v="63"/>
    <x v="5"/>
    <x v="0"/>
    <x v="0"/>
    <x v="1"/>
    <x v="0"/>
    <x v="0"/>
    <x v="75"/>
    <x v="75"/>
    <x v="75"/>
    <x v="75"/>
    <x v="0"/>
  </r>
  <r>
    <x v="76"/>
    <x v="64"/>
    <x v="5"/>
    <x v="1"/>
    <x v="0"/>
    <x v="1"/>
    <x v="1"/>
    <x v="1"/>
    <x v="76"/>
    <x v="76"/>
    <x v="76"/>
    <x v="76"/>
    <x v="1"/>
  </r>
  <r>
    <x v="77"/>
    <x v="65"/>
    <x v="5"/>
    <x v="4"/>
    <x v="1"/>
    <x v="1"/>
    <x v="4"/>
    <x v="4"/>
    <x v="77"/>
    <x v="77"/>
    <x v="77"/>
    <x v="77"/>
    <x v="4"/>
  </r>
  <r>
    <x v="78"/>
    <x v="66"/>
    <x v="5"/>
    <x v="4"/>
    <x v="3"/>
    <x v="1"/>
    <x v="4"/>
    <x v="4"/>
    <x v="78"/>
    <x v="78"/>
    <x v="78"/>
    <x v="78"/>
    <x v="4"/>
  </r>
  <r>
    <x v="79"/>
    <x v="67"/>
    <x v="5"/>
    <x v="4"/>
    <x v="1"/>
    <x v="1"/>
    <x v="4"/>
    <x v="4"/>
    <x v="79"/>
    <x v="79"/>
    <x v="79"/>
    <x v="79"/>
    <x v="4"/>
  </r>
  <r>
    <x v="80"/>
    <x v="68"/>
    <x v="6"/>
    <x v="0"/>
    <x v="1"/>
    <x v="0"/>
    <x v="0"/>
    <x v="0"/>
    <x v="80"/>
    <x v="80"/>
    <x v="80"/>
    <x v="80"/>
    <x v="0"/>
  </r>
  <r>
    <x v="81"/>
    <x v="69"/>
    <x v="6"/>
    <x v="4"/>
    <x v="1"/>
    <x v="1"/>
    <x v="4"/>
    <x v="4"/>
    <x v="81"/>
    <x v="81"/>
    <x v="81"/>
    <x v="81"/>
    <x v="4"/>
  </r>
  <r>
    <x v="82"/>
    <x v="70"/>
    <x v="6"/>
    <x v="2"/>
    <x v="3"/>
    <x v="0"/>
    <x v="2"/>
    <x v="2"/>
    <x v="82"/>
    <x v="82"/>
    <x v="82"/>
    <x v="82"/>
    <x v="2"/>
  </r>
  <r>
    <x v="83"/>
    <x v="71"/>
    <x v="6"/>
    <x v="1"/>
    <x v="2"/>
    <x v="1"/>
    <x v="1"/>
    <x v="1"/>
    <x v="83"/>
    <x v="83"/>
    <x v="83"/>
    <x v="83"/>
    <x v="1"/>
  </r>
  <r>
    <x v="84"/>
    <x v="72"/>
    <x v="6"/>
    <x v="0"/>
    <x v="2"/>
    <x v="2"/>
    <x v="0"/>
    <x v="0"/>
    <x v="84"/>
    <x v="84"/>
    <x v="84"/>
    <x v="84"/>
    <x v="0"/>
  </r>
  <r>
    <x v="85"/>
    <x v="73"/>
    <x v="6"/>
    <x v="3"/>
    <x v="2"/>
    <x v="3"/>
    <x v="3"/>
    <x v="3"/>
    <x v="85"/>
    <x v="85"/>
    <x v="85"/>
    <x v="85"/>
    <x v="3"/>
  </r>
  <r>
    <x v="86"/>
    <x v="74"/>
    <x v="6"/>
    <x v="4"/>
    <x v="2"/>
    <x v="1"/>
    <x v="4"/>
    <x v="4"/>
    <x v="86"/>
    <x v="86"/>
    <x v="86"/>
    <x v="86"/>
    <x v="4"/>
  </r>
  <r>
    <x v="87"/>
    <x v="75"/>
    <x v="6"/>
    <x v="2"/>
    <x v="2"/>
    <x v="1"/>
    <x v="2"/>
    <x v="2"/>
    <x v="87"/>
    <x v="87"/>
    <x v="87"/>
    <x v="87"/>
    <x v="2"/>
  </r>
  <r>
    <x v="88"/>
    <x v="76"/>
    <x v="6"/>
    <x v="1"/>
    <x v="1"/>
    <x v="3"/>
    <x v="1"/>
    <x v="1"/>
    <x v="88"/>
    <x v="88"/>
    <x v="88"/>
    <x v="88"/>
    <x v="1"/>
  </r>
  <r>
    <x v="89"/>
    <x v="77"/>
    <x v="6"/>
    <x v="0"/>
    <x v="0"/>
    <x v="1"/>
    <x v="0"/>
    <x v="0"/>
    <x v="89"/>
    <x v="89"/>
    <x v="89"/>
    <x v="89"/>
    <x v="0"/>
  </r>
  <r>
    <x v="90"/>
    <x v="78"/>
    <x v="6"/>
    <x v="0"/>
    <x v="0"/>
    <x v="1"/>
    <x v="0"/>
    <x v="0"/>
    <x v="90"/>
    <x v="90"/>
    <x v="90"/>
    <x v="90"/>
    <x v="0"/>
  </r>
  <r>
    <x v="91"/>
    <x v="79"/>
    <x v="6"/>
    <x v="4"/>
    <x v="1"/>
    <x v="1"/>
    <x v="4"/>
    <x v="4"/>
    <x v="91"/>
    <x v="91"/>
    <x v="91"/>
    <x v="91"/>
    <x v="4"/>
  </r>
  <r>
    <x v="92"/>
    <x v="80"/>
    <x v="6"/>
    <x v="3"/>
    <x v="2"/>
    <x v="3"/>
    <x v="3"/>
    <x v="3"/>
    <x v="92"/>
    <x v="92"/>
    <x v="92"/>
    <x v="92"/>
    <x v="3"/>
  </r>
  <r>
    <x v="93"/>
    <x v="81"/>
    <x v="6"/>
    <x v="3"/>
    <x v="3"/>
    <x v="1"/>
    <x v="3"/>
    <x v="3"/>
    <x v="93"/>
    <x v="93"/>
    <x v="93"/>
    <x v="93"/>
    <x v="3"/>
  </r>
  <r>
    <x v="94"/>
    <x v="82"/>
    <x v="6"/>
    <x v="0"/>
    <x v="3"/>
    <x v="3"/>
    <x v="4"/>
    <x v="4"/>
    <x v="94"/>
    <x v="94"/>
    <x v="94"/>
    <x v="94"/>
    <x v="4"/>
  </r>
  <r>
    <x v="95"/>
    <x v="83"/>
    <x v="6"/>
    <x v="0"/>
    <x v="3"/>
    <x v="3"/>
    <x v="4"/>
    <x v="4"/>
    <x v="11"/>
    <x v="11"/>
    <x v="11"/>
    <x v="11"/>
    <x v="4"/>
  </r>
  <r>
    <x v="96"/>
    <x v="84"/>
    <x v="7"/>
    <x v="1"/>
    <x v="3"/>
    <x v="3"/>
    <x v="0"/>
    <x v="0"/>
    <x v="12"/>
    <x v="12"/>
    <x v="12"/>
    <x v="12"/>
    <x v="0"/>
  </r>
  <r>
    <x v="97"/>
    <x v="85"/>
    <x v="7"/>
    <x v="2"/>
    <x v="0"/>
    <x v="2"/>
    <x v="3"/>
    <x v="3"/>
    <x v="13"/>
    <x v="13"/>
    <x v="13"/>
    <x v="13"/>
    <x v="3"/>
  </r>
  <r>
    <x v="98"/>
    <x v="85"/>
    <x v="7"/>
    <x v="3"/>
    <x v="1"/>
    <x v="2"/>
    <x v="2"/>
    <x v="2"/>
    <x v="14"/>
    <x v="14"/>
    <x v="14"/>
    <x v="14"/>
    <x v="2"/>
  </r>
  <r>
    <x v="99"/>
    <x v="85"/>
    <x v="7"/>
    <x v="4"/>
    <x v="2"/>
    <x v="3"/>
    <x v="3"/>
    <x v="3"/>
    <x v="15"/>
    <x v="15"/>
    <x v="15"/>
    <x v="15"/>
    <x v="3"/>
  </r>
  <r>
    <x v="100"/>
    <x v="85"/>
    <x v="7"/>
    <x v="4"/>
    <x v="2"/>
    <x v="0"/>
    <x v="0"/>
    <x v="0"/>
    <x v="16"/>
    <x v="16"/>
    <x v="16"/>
    <x v="16"/>
    <x v="0"/>
  </r>
  <r>
    <x v="101"/>
    <x v="85"/>
    <x v="7"/>
    <x v="4"/>
    <x v="2"/>
    <x v="1"/>
    <x v="3"/>
    <x v="3"/>
    <x v="17"/>
    <x v="17"/>
    <x v="17"/>
    <x v="17"/>
    <x v="3"/>
  </r>
  <r>
    <x v="102"/>
    <x v="85"/>
    <x v="7"/>
    <x v="0"/>
    <x v="0"/>
    <x v="2"/>
    <x v="0"/>
    <x v="0"/>
    <x v="18"/>
    <x v="18"/>
    <x v="18"/>
    <x v="18"/>
    <x v="0"/>
  </r>
  <r>
    <x v="103"/>
    <x v="85"/>
    <x v="7"/>
    <x v="1"/>
    <x v="1"/>
    <x v="3"/>
    <x v="1"/>
    <x v="1"/>
    <x v="19"/>
    <x v="19"/>
    <x v="19"/>
    <x v="19"/>
    <x v="1"/>
  </r>
  <r>
    <x v="104"/>
    <x v="85"/>
    <x v="7"/>
    <x v="1"/>
    <x v="2"/>
    <x v="2"/>
    <x v="0"/>
    <x v="0"/>
    <x v="20"/>
    <x v="20"/>
    <x v="20"/>
    <x v="20"/>
    <x v="0"/>
  </r>
  <r>
    <x v="105"/>
    <x v="85"/>
    <x v="7"/>
    <x v="4"/>
    <x v="2"/>
    <x v="2"/>
    <x v="0"/>
    <x v="0"/>
    <x v="21"/>
    <x v="21"/>
    <x v="21"/>
    <x v="21"/>
    <x v="0"/>
  </r>
  <r>
    <x v="106"/>
    <x v="85"/>
    <x v="7"/>
    <x v="0"/>
    <x v="2"/>
    <x v="0"/>
    <x v="4"/>
    <x v="4"/>
    <x v="22"/>
    <x v="22"/>
    <x v="22"/>
    <x v="22"/>
    <x v="4"/>
  </r>
  <r>
    <x v="107"/>
    <x v="85"/>
    <x v="7"/>
    <x v="3"/>
    <x v="0"/>
    <x v="2"/>
    <x v="2"/>
    <x v="2"/>
    <x v="23"/>
    <x v="23"/>
    <x v="23"/>
    <x v="23"/>
    <x v="5"/>
  </r>
  <r>
    <x v="108"/>
    <x v="85"/>
    <x v="7"/>
    <x v="2"/>
    <x v="2"/>
    <x v="2"/>
    <x v="1"/>
    <x v="1"/>
    <x v="24"/>
    <x v="24"/>
    <x v="24"/>
    <x v="24"/>
    <x v="1"/>
  </r>
  <r>
    <x v="109"/>
    <x v="85"/>
    <x v="7"/>
    <x v="3"/>
    <x v="2"/>
    <x v="0"/>
    <x v="1"/>
    <x v="1"/>
    <x v="25"/>
    <x v="25"/>
    <x v="25"/>
    <x v="25"/>
    <x v="1"/>
  </r>
  <r>
    <x v="110"/>
    <x v="86"/>
    <x v="7"/>
    <x v="0"/>
    <x v="2"/>
    <x v="0"/>
    <x v="1"/>
    <x v="1"/>
    <x v="26"/>
    <x v="26"/>
    <x v="26"/>
    <x v="26"/>
    <x v="1"/>
  </r>
  <r>
    <x v="111"/>
    <x v="87"/>
    <x v="7"/>
    <x v="3"/>
    <x v="0"/>
    <x v="0"/>
    <x v="2"/>
    <x v="2"/>
    <x v="27"/>
    <x v="27"/>
    <x v="27"/>
    <x v="27"/>
    <x v="2"/>
  </r>
  <r>
    <x v="112"/>
    <x v="88"/>
    <x v="7"/>
    <x v="0"/>
    <x v="0"/>
    <x v="0"/>
    <x v="0"/>
    <x v="0"/>
    <x v="28"/>
    <x v="28"/>
    <x v="28"/>
    <x v="28"/>
    <x v="0"/>
  </r>
  <r>
    <x v="113"/>
    <x v="89"/>
    <x v="7"/>
    <x v="1"/>
    <x v="1"/>
    <x v="0"/>
    <x v="4"/>
    <x v="4"/>
    <x v="29"/>
    <x v="29"/>
    <x v="29"/>
    <x v="29"/>
    <x v="4"/>
  </r>
  <r>
    <x v="114"/>
    <x v="90"/>
    <x v="7"/>
    <x v="0"/>
    <x v="1"/>
    <x v="0"/>
    <x v="1"/>
    <x v="1"/>
    <x v="30"/>
    <x v="30"/>
    <x v="30"/>
    <x v="30"/>
    <x v="1"/>
  </r>
  <r>
    <x v="115"/>
    <x v="91"/>
    <x v="7"/>
    <x v="0"/>
    <x v="0"/>
    <x v="3"/>
    <x v="2"/>
    <x v="2"/>
    <x v="31"/>
    <x v="31"/>
    <x v="31"/>
    <x v="31"/>
    <x v="2"/>
  </r>
  <r>
    <x v="116"/>
    <x v="92"/>
    <x v="7"/>
    <x v="4"/>
    <x v="1"/>
    <x v="3"/>
    <x v="1"/>
    <x v="1"/>
    <x v="32"/>
    <x v="32"/>
    <x v="32"/>
    <x v="32"/>
    <x v="1"/>
  </r>
  <r>
    <x v="117"/>
    <x v="93"/>
    <x v="7"/>
    <x v="2"/>
    <x v="1"/>
    <x v="1"/>
    <x v="1"/>
    <x v="1"/>
    <x v="33"/>
    <x v="33"/>
    <x v="33"/>
    <x v="33"/>
    <x v="1"/>
  </r>
  <r>
    <x v="118"/>
    <x v="94"/>
    <x v="7"/>
    <x v="1"/>
    <x v="2"/>
    <x v="3"/>
    <x v="4"/>
    <x v="4"/>
    <x v="34"/>
    <x v="34"/>
    <x v="34"/>
    <x v="34"/>
    <x v="4"/>
  </r>
  <r>
    <x v="119"/>
    <x v="95"/>
    <x v="7"/>
    <x v="1"/>
    <x v="1"/>
    <x v="3"/>
    <x v="4"/>
    <x v="4"/>
    <x v="35"/>
    <x v="35"/>
    <x v="35"/>
    <x v="35"/>
    <x v="4"/>
  </r>
  <r>
    <x v="120"/>
    <x v="96"/>
    <x v="7"/>
    <x v="1"/>
    <x v="0"/>
    <x v="2"/>
    <x v="1"/>
    <x v="1"/>
    <x v="36"/>
    <x v="36"/>
    <x v="36"/>
    <x v="36"/>
    <x v="1"/>
  </r>
  <r>
    <x v="121"/>
    <x v="97"/>
    <x v="7"/>
    <x v="2"/>
    <x v="3"/>
    <x v="2"/>
    <x v="4"/>
    <x v="4"/>
    <x v="37"/>
    <x v="37"/>
    <x v="37"/>
    <x v="37"/>
    <x v="4"/>
  </r>
  <r>
    <x v="122"/>
    <x v="98"/>
    <x v="7"/>
    <x v="0"/>
    <x v="3"/>
    <x v="2"/>
    <x v="3"/>
    <x v="3"/>
    <x v="38"/>
    <x v="38"/>
    <x v="38"/>
    <x v="38"/>
    <x v="3"/>
  </r>
  <r>
    <x v="123"/>
    <x v="99"/>
    <x v="8"/>
    <x v="4"/>
    <x v="3"/>
    <x v="2"/>
    <x v="3"/>
    <x v="3"/>
    <x v="39"/>
    <x v="39"/>
    <x v="39"/>
    <x v="39"/>
    <x v="3"/>
  </r>
  <r>
    <x v="124"/>
    <x v="100"/>
    <x v="8"/>
    <x v="1"/>
    <x v="3"/>
    <x v="0"/>
    <x v="2"/>
    <x v="2"/>
    <x v="40"/>
    <x v="40"/>
    <x v="40"/>
    <x v="40"/>
    <x v="2"/>
  </r>
  <r>
    <x v="125"/>
    <x v="101"/>
    <x v="8"/>
    <x v="2"/>
    <x v="1"/>
    <x v="2"/>
    <x v="2"/>
    <x v="2"/>
    <x v="41"/>
    <x v="41"/>
    <x v="41"/>
    <x v="41"/>
    <x v="5"/>
  </r>
  <r>
    <x v="126"/>
    <x v="102"/>
    <x v="8"/>
    <x v="1"/>
    <x v="3"/>
    <x v="0"/>
    <x v="4"/>
    <x v="4"/>
    <x v="42"/>
    <x v="42"/>
    <x v="42"/>
    <x v="42"/>
    <x v="4"/>
  </r>
  <r>
    <x v="127"/>
    <x v="103"/>
    <x v="8"/>
    <x v="1"/>
    <x v="1"/>
    <x v="0"/>
    <x v="4"/>
    <x v="4"/>
    <x v="43"/>
    <x v="43"/>
    <x v="43"/>
    <x v="43"/>
    <x v="4"/>
  </r>
  <r>
    <x v="128"/>
    <x v="104"/>
    <x v="8"/>
    <x v="4"/>
    <x v="3"/>
    <x v="2"/>
    <x v="4"/>
    <x v="4"/>
    <x v="44"/>
    <x v="44"/>
    <x v="44"/>
    <x v="44"/>
    <x v="4"/>
  </r>
  <r>
    <x v="129"/>
    <x v="105"/>
    <x v="8"/>
    <x v="4"/>
    <x v="3"/>
    <x v="3"/>
    <x v="0"/>
    <x v="0"/>
    <x v="45"/>
    <x v="45"/>
    <x v="45"/>
    <x v="45"/>
    <x v="0"/>
  </r>
  <r>
    <x v="130"/>
    <x v="106"/>
    <x v="8"/>
    <x v="1"/>
    <x v="2"/>
    <x v="1"/>
    <x v="0"/>
    <x v="0"/>
    <x v="46"/>
    <x v="46"/>
    <x v="46"/>
    <x v="46"/>
    <x v="0"/>
  </r>
  <r>
    <x v="131"/>
    <x v="107"/>
    <x v="8"/>
    <x v="4"/>
    <x v="3"/>
    <x v="2"/>
    <x v="0"/>
    <x v="0"/>
    <x v="47"/>
    <x v="47"/>
    <x v="47"/>
    <x v="47"/>
    <x v="0"/>
  </r>
  <r>
    <x v="132"/>
    <x v="108"/>
    <x v="8"/>
    <x v="3"/>
    <x v="1"/>
    <x v="1"/>
    <x v="2"/>
    <x v="2"/>
    <x v="48"/>
    <x v="48"/>
    <x v="48"/>
    <x v="48"/>
    <x v="5"/>
  </r>
  <r>
    <x v="133"/>
    <x v="109"/>
    <x v="8"/>
    <x v="3"/>
    <x v="1"/>
    <x v="2"/>
    <x v="4"/>
    <x v="4"/>
    <x v="49"/>
    <x v="49"/>
    <x v="49"/>
    <x v="49"/>
    <x v="4"/>
  </r>
  <r>
    <x v="134"/>
    <x v="110"/>
    <x v="8"/>
    <x v="2"/>
    <x v="2"/>
    <x v="0"/>
    <x v="1"/>
    <x v="1"/>
    <x v="50"/>
    <x v="50"/>
    <x v="50"/>
    <x v="50"/>
    <x v="1"/>
  </r>
  <r>
    <x v="135"/>
    <x v="111"/>
    <x v="8"/>
    <x v="2"/>
    <x v="3"/>
    <x v="0"/>
    <x v="2"/>
    <x v="2"/>
    <x v="51"/>
    <x v="51"/>
    <x v="51"/>
    <x v="51"/>
    <x v="2"/>
  </r>
  <r>
    <x v="136"/>
    <x v="112"/>
    <x v="8"/>
    <x v="4"/>
    <x v="2"/>
    <x v="2"/>
    <x v="1"/>
    <x v="1"/>
    <x v="52"/>
    <x v="52"/>
    <x v="52"/>
    <x v="52"/>
    <x v="1"/>
  </r>
  <r>
    <x v="137"/>
    <x v="113"/>
    <x v="8"/>
    <x v="4"/>
    <x v="1"/>
    <x v="2"/>
    <x v="1"/>
    <x v="1"/>
    <x v="53"/>
    <x v="53"/>
    <x v="53"/>
    <x v="53"/>
    <x v="1"/>
  </r>
  <r>
    <x v="138"/>
    <x v="114"/>
    <x v="9"/>
    <x v="4"/>
    <x v="2"/>
    <x v="2"/>
    <x v="3"/>
    <x v="3"/>
    <x v="54"/>
    <x v="54"/>
    <x v="54"/>
    <x v="54"/>
    <x v="3"/>
  </r>
  <r>
    <x v="139"/>
    <x v="115"/>
    <x v="9"/>
    <x v="0"/>
    <x v="1"/>
    <x v="2"/>
    <x v="3"/>
    <x v="3"/>
    <x v="55"/>
    <x v="55"/>
    <x v="55"/>
    <x v="55"/>
    <x v="3"/>
  </r>
  <r>
    <x v="140"/>
    <x v="116"/>
    <x v="9"/>
    <x v="0"/>
    <x v="2"/>
    <x v="1"/>
    <x v="4"/>
    <x v="4"/>
    <x v="56"/>
    <x v="56"/>
    <x v="56"/>
    <x v="56"/>
    <x v="4"/>
  </r>
  <r>
    <x v="141"/>
    <x v="117"/>
    <x v="9"/>
    <x v="0"/>
    <x v="2"/>
    <x v="3"/>
    <x v="3"/>
    <x v="3"/>
    <x v="57"/>
    <x v="57"/>
    <x v="57"/>
    <x v="57"/>
    <x v="3"/>
  </r>
  <r>
    <x v="142"/>
    <x v="118"/>
    <x v="9"/>
    <x v="2"/>
    <x v="3"/>
    <x v="3"/>
    <x v="2"/>
    <x v="2"/>
    <x v="58"/>
    <x v="58"/>
    <x v="58"/>
    <x v="58"/>
    <x v="5"/>
  </r>
  <r>
    <x v="143"/>
    <x v="119"/>
    <x v="9"/>
    <x v="4"/>
    <x v="3"/>
    <x v="0"/>
    <x v="2"/>
    <x v="2"/>
    <x v="59"/>
    <x v="59"/>
    <x v="59"/>
    <x v="59"/>
    <x v="5"/>
  </r>
  <r>
    <x v="144"/>
    <x v="119"/>
    <x v="9"/>
    <x v="1"/>
    <x v="1"/>
    <x v="0"/>
    <x v="0"/>
    <x v="0"/>
    <x v="60"/>
    <x v="60"/>
    <x v="60"/>
    <x v="60"/>
    <x v="0"/>
  </r>
  <r>
    <x v="145"/>
    <x v="119"/>
    <x v="9"/>
    <x v="2"/>
    <x v="2"/>
    <x v="0"/>
    <x v="0"/>
    <x v="0"/>
    <x v="61"/>
    <x v="61"/>
    <x v="61"/>
    <x v="61"/>
    <x v="0"/>
  </r>
  <r>
    <x v="146"/>
    <x v="119"/>
    <x v="9"/>
    <x v="1"/>
    <x v="3"/>
    <x v="0"/>
    <x v="2"/>
    <x v="2"/>
    <x v="62"/>
    <x v="62"/>
    <x v="62"/>
    <x v="62"/>
    <x v="2"/>
  </r>
  <r>
    <x v="147"/>
    <x v="119"/>
    <x v="9"/>
    <x v="1"/>
    <x v="2"/>
    <x v="0"/>
    <x v="1"/>
    <x v="1"/>
    <x v="63"/>
    <x v="63"/>
    <x v="63"/>
    <x v="63"/>
    <x v="1"/>
  </r>
  <r>
    <x v="148"/>
    <x v="119"/>
    <x v="9"/>
    <x v="3"/>
    <x v="1"/>
    <x v="3"/>
    <x v="4"/>
    <x v="4"/>
    <x v="64"/>
    <x v="64"/>
    <x v="64"/>
    <x v="64"/>
    <x v="4"/>
  </r>
  <r>
    <x v="149"/>
    <x v="119"/>
    <x v="9"/>
    <x v="3"/>
    <x v="2"/>
    <x v="1"/>
    <x v="1"/>
    <x v="1"/>
    <x v="65"/>
    <x v="65"/>
    <x v="65"/>
    <x v="65"/>
    <x v="1"/>
  </r>
  <r>
    <x v="150"/>
    <x v="119"/>
    <x v="9"/>
    <x v="4"/>
    <x v="3"/>
    <x v="1"/>
    <x v="4"/>
    <x v="4"/>
    <x v="66"/>
    <x v="66"/>
    <x v="66"/>
    <x v="66"/>
    <x v="4"/>
  </r>
  <r>
    <x v="151"/>
    <x v="119"/>
    <x v="9"/>
    <x v="3"/>
    <x v="2"/>
    <x v="2"/>
    <x v="3"/>
    <x v="3"/>
    <x v="67"/>
    <x v="67"/>
    <x v="67"/>
    <x v="67"/>
    <x v="3"/>
  </r>
  <r>
    <x v="152"/>
    <x v="119"/>
    <x v="9"/>
    <x v="2"/>
    <x v="1"/>
    <x v="2"/>
    <x v="4"/>
    <x v="4"/>
    <x v="68"/>
    <x v="68"/>
    <x v="68"/>
    <x v="68"/>
    <x v="4"/>
  </r>
  <r>
    <x v="153"/>
    <x v="119"/>
    <x v="9"/>
    <x v="2"/>
    <x v="2"/>
    <x v="1"/>
    <x v="1"/>
    <x v="1"/>
    <x v="69"/>
    <x v="69"/>
    <x v="69"/>
    <x v="69"/>
    <x v="1"/>
  </r>
  <r>
    <x v="154"/>
    <x v="119"/>
    <x v="9"/>
    <x v="0"/>
    <x v="3"/>
    <x v="2"/>
    <x v="4"/>
    <x v="4"/>
    <x v="70"/>
    <x v="70"/>
    <x v="70"/>
    <x v="70"/>
    <x v="4"/>
  </r>
  <r>
    <x v="155"/>
    <x v="119"/>
    <x v="9"/>
    <x v="0"/>
    <x v="2"/>
    <x v="1"/>
    <x v="4"/>
    <x v="4"/>
    <x v="71"/>
    <x v="71"/>
    <x v="71"/>
    <x v="71"/>
    <x v="4"/>
  </r>
  <r>
    <x v="156"/>
    <x v="119"/>
    <x v="9"/>
    <x v="2"/>
    <x v="1"/>
    <x v="1"/>
    <x v="0"/>
    <x v="0"/>
    <x v="72"/>
    <x v="72"/>
    <x v="72"/>
    <x v="72"/>
    <x v="0"/>
  </r>
  <r>
    <x v="157"/>
    <x v="120"/>
    <x v="9"/>
    <x v="1"/>
    <x v="2"/>
    <x v="1"/>
    <x v="4"/>
    <x v="4"/>
    <x v="73"/>
    <x v="73"/>
    <x v="73"/>
    <x v="73"/>
    <x v="4"/>
  </r>
  <r>
    <x v="158"/>
    <x v="121"/>
    <x v="9"/>
    <x v="4"/>
    <x v="3"/>
    <x v="1"/>
    <x v="2"/>
    <x v="2"/>
    <x v="74"/>
    <x v="74"/>
    <x v="74"/>
    <x v="74"/>
    <x v="2"/>
  </r>
  <r>
    <x v="159"/>
    <x v="122"/>
    <x v="9"/>
    <x v="1"/>
    <x v="3"/>
    <x v="1"/>
    <x v="0"/>
    <x v="0"/>
    <x v="75"/>
    <x v="75"/>
    <x v="75"/>
    <x v="75"/>
    <x v="0"/>
  </r>
  <r>
    <x v="160"/>
    <x v="123"/>
    <x v="9"/>
    <x v="4"/>
    <x v="0"/>
    <x v="1"/>
    <x v="1"/>
    <x v="1"/>
    <x v="76"/>
    <x v="76"/>
    <x v="76"/>
    <x v="76"/>
    <x v="1"/>
  </r>
  <r>
    <x v="161"/>
    <x v="124"/>
    <x v="9"/>
    <x v="3"/>
    <x v="3"/>
    <x v="1"/>
    <x v="4"/>
    <x v="4"/>
    <x v="77"/>
    <x v="77"/>
    <x v="77"/>
    <x v="77"/>
    <x v="4"/>
  </r>
  <r>
    <x v="162"/>
    <x v="125"/>
    <x v="9"/>
    <x v="4"/>
    <x v="1"/>
    <x v="0"/>
    <x v="4"/>
    <x v="4"/>
    <x v="78"/>
    <x v="78"/>
    <x v="78"/>
    <x v="78"/>
    <x v="4"/>
  </r>
  <r>
    <x v="163"/>
    <x v="126"/>
    <x v="9"/>
    <x v="1"/>
    <x v="1"/>
    <x v="0"/>
    <x v="4"/>
    <x v="4"/>
    <x v="79"/>
    <x v="79"/>
    <x v="79"/>
    <x v="79"/>
    <x v="4"/>
  </r>
  <r>
    <x v="164"/>
    <x v="127"/>
    <x v="9"/>
    <x v="4"/>
    <x v="0"/>
    <x v="0"/>
    <x v="0"/>
    <x v="0"/>
    <x v="80"/>
    <x v="80"/>
    <x v="80"/>
    <x v="80"/>
    <x v="0"/>
  </r>
  <r>
    <x v="165"/>
    <x v="128"/>
    <x v="9"/>
    <x v="4"/>
    <x v="0"/>
    <x v="0"/>
    <x v="4"/>
    <x v="4"/>
    <x v="81"/>
    <x v="81"/>
    <x v="81"/>
    <x v="81"/>
    <x v="4"/>
  </r>
  <r>
    <x v="166"/>
    <x v="129"/>
    <x v="9"/>
    <x v="0"/>
    <x v="0"/>
    <x v="0"/>
    <x v="2"/>
    <x v="2"/>
    <x v="82"/>
    <x v="82"/>
    <x v="82"/>
    <x v="82"/>
    <x v="2"/>
  </r>
  <r>
    <x v="167"/>
    <x v="130"/>
    <x v="10"/>
    <x v="4"/>
    <x v="1"/>
    <x v="0"/>
    <x v="1"/>
    <x v="1"/>
    <x v="83"/>
    <x v="83"/>
    <x v="83"/>
    <x v="83"/>
    <x v="1"/>
  </r>
  <r>
    <x v="168"/>
    <x v="131"/>
    <x v="10"/>
    <x v="2"/>
    <x v="3"/>
    <x v="2"/>
    <x v="0"/>
    <x v="0"/>
    <x v="84"/>
    <x v="84"/>
    <x v="84"/>
    <x v="84"/>
    <x v="0"/>
  </r>
  <r>
    <x v="169"/>
    <x v="132"/>
    <x v="10"/>
    <x v="0"/>
    <x v="1"/>
    <x v="2"/>
    <x v="3"/>
    <x v="3"/>
    <x v="85"/>
    <x v="85"/>
    <x v="85"/>
    <x v="85"/>
    <x v="3"/>
  </r>
  <r>
    <x v="170"/>
    <x v="133"/>
    <x v="10"/>
    <x v="1"/>
    <x v="1"/>
    <x v="0"/>
    <x v="4"/>
    <x v="4"/>
    <x v="86"/>
    <x v="86"/>
    <x v="86"/>
    <x v="86"/>
    <x v="4"/>
  </r>
  <r>
    <x v="171"/>
    <x v="134"/>
    <x v="10"/>
    <x v="4"/>
    <x v="1"/>
    <x v="1"/>
    <x v="2"/>
    <x v="2"/>
    <x v="87"/>
    <x v="87"/>
    <x v="87"/>
    <x v="87"/>
    <x v="2"/>
  </r>
  <r>
    <x v="172"/>
    <x v="135"/>
    <x v="10"/>
    <x v="4"/>
    <x v="3"/>
    <x v="1"/>
    <x v="1"/>
    <x v="1"/>
    <x v="88"/>
    <x v="88"/>
    <x v="88"/>
    <x v="88"/>
    <x v="1"/>
  </r>
  <r>
    <x v="173"/>
    <x v="136"/>
    <x v="10"/>
    <x v="4"/>
    <x v="2"/>
    <x v="1"/>
    <x v="0"/>
    <x v="0"/>
    <x v="89"/>
    <x v="89"/>
    <x v="89"/>
    <x v="89"/>
    <x v="0"/>
  </r>
  <r>
    <x v="174"/>
    <x v="136"/>
    <x v="10"/>
    <x v="0"/>
    <x v="2"/>
    <x v="1"/>
    <x v="0"/>
    <x v="0"/>
    <x v="90"/>
    <x v="90"/>
    <x v="90"/>
    <x v="90"/>
    <x v="0"/>
  </r>
  <r>
    <x v="175"/>
    <x v="136"/>
    <x v="10"/>
    <x v="4"/>
    <x v="2"/>
    <x v="1"/>
    <x v="4"/>
    <x v="4"/>
    <x v="91"/>
    <x v="91"/>
    <x v="91"/>
    <x v="91"/>
    <x v="4"/>
  </r>
  <r>
    <x v="176"/>
    <x v="136"/>
    <x v="10"/>
    <x v="2"/>
    <x v="2"/>
    <x v="1"/>
    <x v="3"/>
    <x v="3"/>
    <x v="92"/>
    <x v="92"/>
    <x v="92"/>
    <x v="92"/>
    <x v="3"/>
  </r>
  <r>
    <x v="177"/>
    <x v="136"/>
    <x v="10"/>
    <x v="1"/>
    <x v="2"/>
    <x v="1"/>
    <x v="3"/>
    <x v="3"/>
    <x v="93"/>
    <x v="93"/>
    <x v="93"/>
    <x v="93"/>
    <x v="3"/>
  </r>
  <r>
    <x v="178"/>
    <x v="137"/>
    <x v="10"/>
    <x v="0"/>
    <x v="1"/>
    <x v="1"/>
    <x v="4"/>
    <x v="4"/>
    <x v="94"/>
    <x v="94"/>
    <x v="94"/>
    <x v="94"/>
    <x v="4"/>
  </r>
  <r>
    <x v="179"/>
    <x v="138"/>
    <x v="10"/>
    <x v="3"/>
    <x v="0"/>
    <x v="1"/>
    <x v="4"/>
    <x v="4"/>
    <x v="95"/>
    <x v="95"/>
    <x v="95"/>
    <x v="95"/>
    <x v="4"/>
  </r>
  <r>
    <x v="180"/>
    <x v="136"/>
    <x v="10"/>
    <x v="4"/>
    <x v="3"/>
    <x v="0"/>
    <x v="4"/>
    <x v="4"/>
    <x v="96"/>
    <x v="96"/>
    <x v="96"/>
    <x v="96"/>
    <x v="4"/>
  </r>
  <r>
    <x v="181"/>
    <x v="137"/>
    <x v="10"/>
    <x v="2"/>
    <x v="3"/>
    <x v="1"/>
    <x v="2"/>
    <x v="2"/>
    <x v="97"/>
    <x v="97"/>
    <x v="97"/>
    <x v="97"/>
    <x v="5"/>
  </r>
  <r>
    <x v="182"/>
    <x v="138"/>
    <x v="10"/>
    <x v="1"/>
    <x v="3"/>
    <x v="0"/>
    <x v="2"/>
    <x v="2"/>
    <x v="98"/>
    <x v="98"/>
    <x v="98"/>
    <x v="98"/>
    <x v="2"/>
  </r>
  <r>
    <x v="183"/>
    <x v="139"/>
    <x v="10"/>
    <x v="0"/>
    <x v="1"/>
    <x v="1"/>
    <x v="4"/>
    <x v="4"/>
    <x v="99"/>
    <x v="99"/>
    <x v="99"/>
    <x v="99"/>
    <x v="4"/>
  </r>
  <r>
    <x v="184"/>
    <x v="136"/>
    <x v="10"/>
    <x v="0"/>
    <x v="0"/>
    <x v="2"/>
    <x v="0"/>
    <x v="0"/>
    <x v="75"/>
    <x v="75"/>
    <x v="75"/>
    <x v="75"/>
    <x v="0"/>
  </r>
  <r>
    <x v="185"/>
    <x v="137"/>
    <x v="10"/>
    <x v="4"/>
    <x v="3"/>
    <x v="3"/>
    <x v="1"/>
    <x v="1"/>
    <x v="76"/>
    <x v="76"/>
    <x v="76"/>
    <x v="76"/>
    <x v="1"/>
  </r>
  <r>
    <x v="186"/>
    <x v="138"/>
    <x v="10"/>
    <x v="3"/>
    <x v="0"/>
    <x v="1"/>
    <x v="4"/>
    <x v="4"/>
    <x v="77"/>
    <x v="77"/>
    <x v="77"/>
    <x v="77"/>
    <x v="4"/>
  </r>
  <r>
    <x v="187"/>
    <x v="139"/>
    <x v="10"/>
    <x v="3"/>
    <x v="0"/>
    <x v="1"/>
    <x v="4"/>
    <x v="4"/>
    <x v="78"/>
    <x v="78"/>
    <x v="78"/>
    <x v="78"/>
    <x v="4"/>
  </r>
  <r>
    <x v="188"/>
    <x v="140"/>
    <x v="10"/>
    <x v="4"/>
    <x v="0"/>
    <x v="3"/>
    <x v="4"/>
    <x v="4"/>
    <x v="79"/>
    <x v="79"/>
    <x v="79"/>
    <x v="79"/>
    <x v="4"/>
  </r>
  <r>
    <x v="189"/>
    <x v="141"/>
    <x v="10"/>
    <x v="4"/>
    <x v="0"/>
    <x v="1"/>
    <x v="0"/>
    <x v="0"/>
    <x v="80"/>
    <x v="80"/>
    <x v="80"/>
    <x v="80"/>
    <x v="0"/>
  </r>
  <r>
    <x v="190"/>
    <x v="142"/>
    <x v="11"/>
    <x v="4"/>
    <x v="3"/>
    <x v="0"/>
    <x v="4"/>
    <x v="4"/>
    <x v="96"/>
    <x v="96"/>
    <x v="96"/>
    <x v="96"/>
    <x v="4"/>
  </r>
  <r>
    <x v="191"/>
    <x v="143"/>
    <x v="11"/>
    <x v="2"/>
    <x v="3"/>
    <x v="1"/>
    <x v="2"/>
    <x v="2"/>
    <x v="97"/>
    <x v="97"/>
    <x v="97"/>
    <x v="97"/>
    <x v="5"/>
  </r>
  <r>
    <x v="192"/>
    <x v="144"/>
    <x v="11"/>
    <x v="1"/>
    <x v="3"/>
    <x v="0"/>
    <x v="2"/>
    <x v="2"/>
    <x v="98"/>
    <x v="98"/>
    <x v="98"/>
    <x v="98"/>
    <x v="2"/>
  </r>
  <r>
    <x v="193"/>
    <x v="145"/>
    <x v="11"/>
    <x v="0"/>
    <x v="1"/>
    <x v="1"/>
    <x v="4"/>
    <x v="4"/>
    <x v="99"/>
    <x v="99"/>
    <x v="99"/>
    <x v="99"/>
    <x v="4"/>
  </r>
  <r>
    <x v="194"/>
    <x v="146"/>
    <x v="11"/>
    <x v="0"/>
    <x v="0"/>
    <x v="2"/>
    <x v="0"/>
    <x v="0"/>
    <x v="75"/>
    <x v="75"/>
    <x v="75"/>
    <x v="75"/>
    <x v="0"/>
  </r>
  <r>
    <x v="195"/>
    <x v="147"/>
    <x v="11"/>
    <x v="4"/>
    <x v="3"/>
    <x v="3"/>
    <x v="1"/>
    <x v="1"/>
    <x v="76"/>
    <x v="76"/>
    <x v="76"/>
    <x v="76"/>
    <x v="1"/>
  </r>
  <r>
    <x v="196"/>
    <x v="148"/>
    <x v="11"/>
    <x v="3"/>
    <x v="0"/>
    <x v="1"/>
    <x v="4"/>
    <x v="4"/>
    <x v="77"/>
    <x v="77"/>
    <x v="77"/>
    <x v="77"/>
    <x v="4"/>
  </r>
  <r>
    <x v="197"/>
    <x v="149"/>
    <x v="11"/>
    <x v="3"/>
    <x v="0"/>
    <x v="1"/>
    <x v="4"/>
    <x v="4"/>
    <x v="78"/>
    <x v="78"/>
    <x v="78"/>
    <x v="78"/>
    <x v="4"/>
  </r>
  <r>
    <x v="198"/>
    <x v="150"/>
    <x v="11"/>
    <x v="4"/>
    <x v="0"/>
    <x v="3"/>
    <x v="4"/>
    <x v="4"/>
    <x v="79"/>
    <x v="79"/>
    <x v="79"/>
    <x v="7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:E3" firstHeaderRow="0" firstDataRow="1" firstDataCol="0"/>
  <pivotFields count="13">
    <pivotField compact="0" showAll="0">
      <items count="2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compact="0" numFmtId="178"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compact="0" showAll="0">
      <items count="25"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8" showAll="0">
      <items count="6">
        <item x="0"/>
        <item x="1"/>
        <item x="2"/>
        <item x="3"/>
        <item x="4"/>
        <item t="default"/>
      </items>
    </pivotField>
    <pivotField compact="0" numFmtId="8" showAll="0">
      <items count="6">
        <item x="0"/>
        <item x="1"/>
        <item x="2"/>
        <item x="3"/>
        <item x="4"/>
        <item t="default"/>
      </items>
    </pivotField>
    <pivotField dataField="1" compact="0" numFmtId="179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compact="0" numFmtId="8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compact="0" numFmtId="8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compact="0" numFmtId="18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compact="0" numFmtId="2"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Quantity" fld="8" baseField="0" baseItem="0"/>
    <dataField name="Sum of Revenues" fld="9" baseField="0" baseItem="0"/>
    <dataField name="Sum of Expenses" fld="10" baseField="0" baseItem="0"/>
    <dataField name="Sum of Profit" fld="11" baseField="0" baseItem="0"/>
    <dataField name="Average of Expense/Revenue Ratio" fld="12" subtotal="average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6:C19" firstHeaderRow="0" firstDataRow="1" firstDataCol="1"/>
  <pivotFields count="13">
    <pivotField compact="0" showAll="0">
      <items count="2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compact="0" numFmtId="178"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axis="axisRow" compact="0" sortType="ascending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5"/>
        <item m="1" x="19"/>
        <item m="1" x="23"/>
        <item m="1" x="13"/>
        <item m="1" x="12"/>
        <item m="1" x="18"/>
        <item m="1" x="17"/>
        <item m="1" x="14"/>
        <item m="1" x="16"/>
        <item m="1" x="22"/>
        <item m="1" x="21"/>
        <item m="1" x="20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8" showAll="0">
      <items count="6">
        <item x="0"/>
        <item x="1"/>
        <item x="2"/>
        <item x="3"/>
        <item x="4"/>
        <item t="default"/>
      </items>
    </pivotField>
    <pivotField compact="0" numFmtId="8" showAll="0">
      <items count="6">
        <item x="0"/>
        <item x="1"/>
        <item x="2"/>
        <item x="3"/>
        <item x="4"/>
        <item t="default"/>
      </items>
    </pivotField>
    <pivotField compact="0" numFmtId="179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compact="0" numFmtId="8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8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compact="0" numFmtId="18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2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3">
    <i>
      <x v="11"/>
    </i>
    <i>
      <x v="3"/>
    </i>
    <i>
      <x v="5"/>
    </i>
    <i>
      <x v="1"/>
    </i>
    <i>
      <x v="2"/>
    </i>
    <i>
      <x v="8"/>
    </i>
    <i>
      <x v="6"/>
    </i>
    <i>
      <x v="4"/>
    </i>
    <i>
      <x/>
    </i>
    <i>
      <x v="10"/>
    </i>
    <i>
      <x v="9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s" fld="9" baseField="0" baseItem="0"/>
    <dataField name="Sum of Profit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3:B29" firstHeaderRow="1" firstDataRow="1" firstDataCol="1"/>
  <pivotFields count="13">
    <pivotField compact="0" showAll="0">
      <items count="2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compact="0" numFmtId="178"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compact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5"/>
        <item m="1" x="19"/>
        <item m="1" x="23"/>
        <item m="1" x="13"/>
        <item m="1" x="12"/>
        <item m="1" x="18"/>
        <item m="1" x="17"/>
        <item m="1" x="14"/>
        <item m="1" x="16"/>
        <item m="1" x="22"/>
        <item m="1" x="21"/>
        <item m="1" x="20"/>
        <item t="default"/>
      </items>
    </pivotField>
    <pivotField axis="axisRow" compact="0" sortType="ascending" showAll="0">
      <items count="6">
        <item x="0"/>
        <item x="1"/>
        <item x="2"/>
        <item x="3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8" showAll="0">
      <items count="6">
        <item x="0"/>
        <item x="1"/>
        <item x="2"/>
        <item x="3"/>
        <item x="4"/>
        <item t="default"/>
      </items>
    </pivotField>
    <pivotField compact="0" numFmtId="8" showAll="0">
      <items count="6">
        <item x="0"/>
        <item x="1"/>
        <item x="2"/>
        <item x="3"/>
        <item x="4"/>
        <item t="default"/>
      </items>
    </pivotField>
    <pivotField compact="0" numFmtId="179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8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8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compact="0" numFmtId="18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2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6">
    <i>
      <x v="3"/>
    </i>
    <i>
      <x v="2"/>
    </i>
    <i>
      <x v="4"/>
    </i>
    <i>
      <x/>
    </i>
    <i>
      <x v="1"/>
    </i>
    <i t="grand">
      <x/>
    </i>
  </rowItems>
  <colItems count="1">
    <i/>
  </colItems>
  <dataFields count="1">
    <dataField name="Sum of Profit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6:B41" firstHeaderRow="1" firstDataRow="1" firstDataCol="1"/>
  <pivotFields count="13">
    <pivotField compact="0" showAll="0">
      <items count="2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compact="0" numFmtId="178"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compact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5"/>
        <item m="1" x="19"/>
        <item m="1" x="23"/>
        <item m="1" x="13"/>
        <item m="1" x="12"/>
        <item m="1" x="18"/>
        <item m="1" x="17"/>
        <item m="1" x="14"/>
        <item m="1" x="16"/>
        <item m="1" x="22"/>
        <item m="1" x="21"/>
        <item m="1" x="20"/>
        <item t="default"/>
      </items>
    </pivotField>
    <pivotField compact="0" sortType="ascending" showAll="0">
      <items count="6">
        <item x="0"/>
        <item x="1"/>
        <item x="2"/>
        <item x="3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ortType="ascending" showAll="0">
      <items count="5">
        <item x="2"/>
        <item x="0"/>
        <item x="1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5">
        <item x="0"/>
        <item x="1"/>
        <item x="2"/>
        <item x="3"/>
        <item t="default"/>
      </items>
    </pivotField>
    <pivotField compact="0" numFmtId="8" showAll="0">
      <items count="6">
        <item x="0"/>
        <item x="1"/>
        <item x="2"/>
        <item x="3"/>
        <item x="4"/>
        <item t="default"/>
      </items>
    </pivotField>
    <pivotField compact="0" numFmtId="8" showAll="0">
      <items count="6">
        <item x="0"/>
        <item x="1"/>
        <item x="2"/>
        <item x="3"/>
        <item x="4"/>
        <item t="default"/>
      </items>
    </pivotField>
    <pivotField compact="0" numFmtId="179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8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8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compact="0" numFmtId="18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2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Profit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8:B53" firstHeaderRow="1" firstDataRow="1" firstDataCol="1"/>
  <pivotFields count="13">
    <pivotField compact="0" showAll="0">
      <items count="2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compact="0" numFmtId="178"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compact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5"/>
        <item m="1" x="19"/>
        <item m="1" x="23"/>
        <item m="1" x="13"/>
        <item m="1" x="12"/>
        <item m="1" x="18"/>
        <item m="1" x="17"/>
        <item m="1" x="14"/>
        <item m="1" x="16"/>
        <item m="1" x="22"/>
        <item m="1" x="21"/>
        <item m="1" x="20"/>
        <item t="default"/>
      </items>
    </pivotField>
    <pivotField compact="0" sortType="ascending" showAll="0">
      <items count="6">
        <item x="0"/>
        <item x="1"/>
        <item x="2"/>
        <item x="3"/>
        <item x="4"/>
        <item t="default"/>
      </items>
      <autoSortScope>
        <pivotArea type="none" outline="0" fieldPosition="0"/>
      </autoSortScope>
    </pivotField>
    <pivotField compact="0" sortType="ascending" showAll="0">
      <items count="5">
        <item x="2"/>
        <item x="0"/>
        <item x="1"/>
        <item x="3"/>
        <item t="default"/>
      </items>
      <autoSortScope>
        <pivotArea type="none" outline="0" fieldPosition="0"/>
      </autoSortScope>
    </pivotField>
    <pivotField axis="axisRow" compact="0" showAll="0">
      <items count="5">
        <item x="0"/>
        <item x="1"/>
        <item x="2"/>
        <item x="3"/>
        <item t="default"/>
      </items>
    </pivotField>
    <pivotField compact="0" numFmtId="8" showAll="0">
      <items count="6">
        <item x="0"/>
        <item x="1"/>
        <item x="2"/>
        <item x="3"/>
        <item x="4"/>
        <item t="default"/>
      </items>
    </pivotField>
    <pivotField compact="0" numFmtId="8" showAll="0">
      <items count="6">
        <item x="0"/>
        <item x="1"/>
        <item x="2"/>
        <item x="3"/>
        <item x="4"/>
        <item t="default"/>
      </items>
    </pivotField>
    <pivotField compact="0" numFmtId="179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compact="0" numFmtId="8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8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18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2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s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3" name="PivotTable4"/>
    <pivotTable tabId="3" name="PivotTable1"/>
    <pivotTable tabId="3" name="PivotTable2"/>
    <pivotTable tabId="3" name="PivotTable3"/>
    <pivotTable tabId="3" name="PivotTable5"/>
  </pivotTables>
  <data>
    <tabular pivotCacheId="1">
      <items count="24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5" s="1" nd="1"/>
        <i x="19" s="1" nd="1"/>
        <i x="23" s="1" nd="1"/>
        <i x="13" s="1" nd="1"/>
        <i x="12" s="1" nd="1"/>
        <i x="18" s="1" nd="1"/>
        <i x="17" s="1" nd="1"/>
        <i x="14" s="1" nd="1"/>
        <i x="16" s="1" nd="1"/>
        <i x="22" s="1" nd="1"/>
        <i x="21" s="1" nd="1"/>
        <i x="20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_Method" sourceName="Sales Method">
  <pivotTables>
    <pivotTable tabId="3" name="PivotTable4"/>
    <pivotTable tabId="3" name="PivotTable1"/>
    <pivotTable tabId="3" name="PivotTable2"/>
    <pivotTable tabId="3" name="PivotTable3"/>
    <pivotTable tabId="3" name="PivotTable5"/>
  </pivotTables>
  <data>
    <tabular pivotCacheId="1">
      <items count="4">
        <i x="0" s="1"/>
        <i x="2" s="1"/>
        <i x="3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3" name="PivotTable4"/>
    <pivotTable tabId="3" name="PivotTable1"/>
    <pivotTable tabId="3" name="PivotTable2"/>
    <pivotTable tabId="3" name="PivotTable3"/>
    <pivotTable tabId="3" name="PivotTable5"/>
  </pivotTables>
  <data>
    <tabular pivotCacheId="1">
      <items count="5">
        <i x="4" s="1"/>
        <i x="2" s="1"/>
        <i x="0" s="1"/>
        <i x="3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4"/>
    <pivotTable tabId="3" name="PivotTable1"/>
    <pivotTable tabId="3" name="PivotTable2"/>
    <pivotTable tabId="3" name="PivotTable3"/>
    <pivotTable tabId="3" name="PivotTable5"/>
  </pivotTables>
  <data>
    <tabular pivotCacheId="1">
      <items count="4">
        <i x="2" s="1"/>
        <i x="0" s="1"/>
        <i x="1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50825"/>
  <slicer name="Product" cache="Slicer_Product" caption="Product" rowHeight="250825"/>
  <slicer name="Sales Method" cache="Slicer_Sales_Method" caption="Sales Method" rowHeight="250825"/>
  <slicer name="Month" cache="Slicer_Month" caption="Month" startItem="7" rowHeight="250825"/>
</slicers>
</file>

<file path=xl/tables/table1.xml><?xml version="1.0" encoding="utf-8"?>
<table xmlns="http://schemas.openxmlformats.org/spreadsheetml/2006/main" id="1" name="Table1" displayName="Table1" ref="A1:M200" totalsRowShown="0">
  <autoFilter xmlns:etc="http://www.wps.cn/officeDocument/2017/etCustomData" ref="A1:M200" etc:filterBottomFollowUsedRange="0"/>
  <tableColumns count="13">
    <tableColumn id="1" name="ID Number" dataDxfId="1"/>
    <tableColumn id="2" name="Date" dataDxfId="2"/>
    <tableColumn id="3" name="Month">
      <calculatedColumnFormula>TEXT(B2,"MMM")</calculatedColumnFormula>
    </tableColumn>
    <tableColumn id="4" name="Product"/>
    <tableColumn id="5" name="Region"/>
    <tableColumn id="6" name="Sales Method"/>
    <tableColumn id="7" name="Price Per Unit" dataDxfId="3"/>
    <tableColumn id="8" name="Cost Per Unit" dataDxfId="4"/>
    <tableColumn id="9" name="Quantity" dataDxfId="5"/>
    <tableColumn id="10" name="Revenues" dataDxfId="6"/>
    <tableColumn id="11" name="Expenses" dataDxfId="7"/>
    <tableColumn id="12" name="Profit" dataDxfId="8">
      <calculatedColumnFormula>J2-K2</calculatedColumnFormula>
    </tableColumn>
    <tableColumn id="13" name="Expense/Revenue Ratio" dataDxfId="9">
      <calculatedColumnFormula>K2/J2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7"/>
  <sheetViews>
    <sheetView workbookViewId="0">
      <selection activeCell="A1" sqref="A1:L200"/>
    </sheetView>
  </sheetViews>
  <sheetFormatPr defaultColWidth="10.625" defaultRowHeight="15.75"/>
  <cols>
    <col min="3" max="3" width="8.5" customWidth="1"/>
    <col min="4" max="4" width="13.125" customWidth="1"/>
    <col min="5" max="5" width="14.625" customWidth="1"/>
    <col min="6" max="6" width="14.875" customWidth="1"/>
    <col min="7" max="7" width="13.125" customWidth="1"/>
    <col min="8" max="8" width="8.375" customWidth="1"/>
    <col min="11" max="11" width="13.25" customWidth="1"/>
    <col min="12" max="12" width="21.25" customWidth="1"/>
  </cols>
  <sheetData>
    <row r="1" spans="1:1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6" t="s">
        <v>11</v>
      </c>
    </row>
    <row r="2" spans="1:12">
      <c r="A2" s="10">
        <v>10010</v>
      </c>
      <c r="B2" s="20">
        <v>44562</v>
      </c>
      <c r="C2" t="s">
        <v>12</v>
      </c>
      <c r="D2" t="s">
        <v>13</v>
      </c>
      <c r="E2" t="s">
        <v>14</v>
      </c>
      <c r="F2" s="21">
        <v>1099</v>
      </c>
      <c r="G2" s="21">
        <v>289</v>
      </c>
      <c r="H2" s="22">
        <v>313.5</v>
      </c>
      <c r="I2" s="24">
        <v>344536.5</v>
      </c>
      <c r="J2" s="24">
        <v>90601.5</v>
      </c>
      <c r="K2" s="18">
        <f>I2-J2</f>
        <v>253935</v>
      </c>
      <c r="L2" s="19">
        <f>J2/I2</f>
        <v>0.262966333030027</v>
      </c>
    </row>
    <row r="3" spans="1:12">
      <c r="A3" s="10">
        <v>10011</v>
      </c>
      <c r="B3" s="20">
        <v>44562</v>
      </c>
      <c r="C3" t="s">
        <v>12</v>
      </c>
      <c r="D3" t="s">
        <v>15</v>
      </c>
      <c r="E3" t="s">
        <v>16</v>
      </c>
      <c r="F3" s="21">
        <v>1099</v>
      </c>
      <c r="G3" s="21">
        <v>289</v>
      </c>
      <c r="H3" s="22">
        <v>300.7</v>
      </c>
      <c r="I3" s="24">
        <v>330469.3</v>
      </c>
      <c r="J3" s="24">
        <v>86902.3</v>
      </c>
      <c r="K3" s="18">
        <f t="shared" ref="K3:K66" si="0">I3-J3</f>
        <v>243567</v>
      </c>
      <c r="L3" s="19">
        <f t="shared" ref="L3:L66" si="1">J3/I3</f>
        <v>0.262966333030027</v>
      </c>
    </row>
    <row r="4" spans="1:12">
      <c r="A4" s="10">
        <v>10012</v>
      </c>
      <c r="B4" s="20">
        <v>44562</v>
      </c>
      <c r="C4" t="s">
        <v>17</v>
      </c>
      <c r="D4" t="s">
        <v>18</v>
      </c>
      <c r="E4" t="s">
        <v>19</v>
      </c>
      <c r="F4" s="21">
        <v>1299</v>
      </c>
      <c r="G4" s="21">
        <v>459</v>
      </c>
      <c r="H4" s="22">
        <v>482.2</v>
      </c>
      <c r="I4" s="24">
        <v>626377.8</v>
      </c>
      <c r="J4" s="24">
        <v>221329.8</v>
      </c>
      <c r="K4" s="18">
        <f t="shared" si="0"/>
        <v>405048</v>
      </c>
      <c r="L4" s="19">
        <f t="shared" si="1"/>
        <v>0.353348729792148</v>
      </c>
    </row>
    <row r="5" spans="1:12">
      <c r="A5" s="10">
        <v>10013</v>
      </c>
      <c r="B5" s="20">
        <v>44562</v>
      </c>
      <c r="C5" t="s">
        <v>20</v>
      </c>
      <c r="D5" t="s">
        <v>21</v>
      </c>
      <c r="E5" t="s">
        <v>22</v>
      </c>
      <c r="F5" s="21">
        <v>599</v>
      </c>
      <c r="G5" s="21">
        <v>299</v>
      </c>
      <c r="H5" s="22">
        <v>109</v>
      </c>
      <c r="I5" s="24">
        <v>65291</v>
      </c>
      <c r="J5" s="24">
        <v>32591</v>
      </c>
      <c r="K5" s="18">
        <f t="shared" si="0"/>
        <v>32700</v>
      </c>
      <c r="L5" s="19">
        <f t="shared" si="1"/>
        <v>0.499165275459099</v>
      </c>
    </row>
    <row r="6" spans="1:12">
      <c r="A6" s="10">
        <v>10014</v>
      </c>
      <c r="B6" s="20">
        <v>44562</v>
      </c>
      <c r="C6" t="s">
        <v>23</v>
      </c>
      <c r="D6" t="s">
        <v>21</v>
      </c>
      <c r="E6" t="s">
        <v>19</v>
      </c>
      <c r="F6" s="21">
        <v>449</v>
      </c>
      <c r="G6" s="21">
        <v>159</v>
      </c>
      <c r="H6" s="22">
        <v>450.9</v>
      </c>
      <c r="I6" s="24">
        <v>202454.1</v>
      </c>
      <c r="J6" s="24">
        <v>71693.1</v>
      </c>
      <c r="K6" s="18">
        <f t="shared" si="0"/>
        <v>130761</v>
      </c>
      <c r="L6" s="19">
        <f t="shared" si="1"/>
        <v>0.354120267260579</v>
      </c>
    </row>
    <row r="7" spans="1:12">
      <c r="A7" s="10">
        <v>10015</v>
      </c>
      <c r="B7" s="20">
        <v>44562</v>
      </c>
      <c r="C7" t="s">
        <v>24</v>
      </c>
      <c r="D7" t="s">
        <v>21</v>
      </c>
      <c r="E7" t="s">
        <v>19</v>
      </c>
      <c r="F7" s="21">
        <v>199</v>
      </c>
      <c r="G7" s="21">
        <v>39</v>
      </c>
      <c r="H7" s="22">
        <v>270.9</v>
      </c>
      <c r="I7" s="24">
        <v>53909.1</v>
      </c>
      <c r="J7" s="24">
        <v>10565.1</v>
      </c>
      <c r="K7" s="18">
        <f t="shared" si="0"/>
        <v>43344</v>
      </c>
      <c r="L7" s="19">
        <f t="shared" si="1"/>
        <v>0.195979899497487</v>
      </c>
    </row>
    <row r="8" spans="1:12">
      <c r="A8" s="10">
        <v>10016</v>
      </c>
      <c r="B8" s="20">
        <v>44565</v>
      </c>
      <c r="C8" t="s">
        <v>24</v>
      </c>
      <c r="D8" t="s">
        <v>21</v>
      </c>
      <c r="E8" t="s">
        <v>14</v>
      </c>
      <c r="F8" s="21">
        <v>199</v>
      </c>
      <c r="G8" s="21">
        <v>39</v>
      </c>
      <c r="H8" s="22">
        <v>443.1</v>
      </c>
      <c r="I8" s="24">
        <v>88176.9</v>
      </c>
      <c r="J8" s="24">
        <v>17280.9</v>
      </c>
      <c r="K8" s="18">
        <f t="shared" si="0"/>
        <v>70896</v>
      </c>
      <c r="L8" s="19">
        <f t="shared" si="1"/>
        <v>0.195979899497487</v>
      </c>
    </row>
    <row r="9" spans="1:12">
      <c r="A9" s="10">
        <v>10017</v>
      </c>
      <c r="B9" s="20">
        <v>44568</v>
      </c>
      <c r="C9" t="s">
        <v>24</v>
      </c>
      <c r="D9" t="s">
        <v>13</v>
      </c>
      <c r="E9" t="s">
        <v>19</v>
      </c>
      <c r="F9" s="21">
        <v>199</v>
      </c>
      <c r="G9" s="21">
        <v>39</v>
      </c>
      <c r="H9" s="22">
        <v>459.3</v>
      </c>
      <c r="I9" s="24">
        <v>91400.7</v>
      </c>
      <c r="J9" s="24">
        <v>17912.7</v>
      </c>
      <c r="K9" s="18">
        <f t="shared" si="0"/>
        <v>73488</v>
      </c>
      <c r="L9" s="19">
        <f t="shared" si="1"/>
        <v>0.195979899497487</v>
      </c>
    </row>
    <row r="10" spans="1:12">
      <c r="A10" s="10">
        <v>10018</v>
      </c>
      <c r="B10" s="20">
        <v>44571</v>
      </c>
      <c r="C10" t="s">
        <v>12</v>
      </c>
      <c r="D10" t="s">
        <v>15</v>
      </c>
      <c r="E10" t="s">
        <v>19</v>
      </c>
      <c r="F10" s="23">
        <v>1099</v>
      </c>
      <c r="G10" s="23">
        <v>289</v>
      </c>
      <c r="H10" s="22">
        <v>222.5</v>
      </c>
      <c r="I10" s="24">
        <v>244527.5</v>
      </c>
      <c r="J10" s="24">
        <v>64302.5</v>
      </c>
      <c r="K10" s="18">
        <f t="shared" si="0"/>
        <v>180225</v>
      </c>
      <c r="L10" s="19">
        <f t="shared" si="1"/>
        <v>0.262966333030027</v>
      </c>
    </row>
    <row r="11" spans="1:12">
      <c r="A11" s="10">
        <v>10019</v>
      </c>
      <c r="B11" s="20">
        <v>44574</v>
      </c>
      <c r="C11" t="s">
        <v>17</v>
      </c>
      <c r="D11" t="s">
        <v>18</v>
      </c>
      <c r="E11" s="14" t="s">
        <v>14</v>
      </c>
      <c r="F11" s="21">
        <v>1299</v>
      </c>
      <c r="G11" s="21">
        <v>459</v>
      </c>
      <c r="H11" s="22">
        <v>479.4</v>
      </c>
      <c r="I11" s="24">
        <v>622740.6</v>
      </c>
      <c r="J11" s="24">
        <v>220044.6</v>
      </c>
      <c r="K11" s="18">
        <f t="shared" si="0"/>
        <v>402696</v>
      </c>
      <c r="L11" s="19">
        <f t="shared" si="1"/>
        <v>0.353348729792148</v>
      </c>
    </row>
    <row r="12" spans="1:12">
      <c r="A12" s="10">
        <v>10020</v>
      </c>
      <c r="B12" s="20">
        <v>44577</v>
      </c>
      <c r="C12" t="s">
        <v>17</v>
      </c>
      <c r="D12" t="s">
        <v>18</v>
      </c>
      <c r="E12" s="14" t="s">
        <v>14</v>
      </c>
      <c r="F12" s="21">
        <v>1299</v>
      </c>
      <c r="G12" s="21">
        <v>459</v>
      </c>
      <c r="H12" s="22">
        <v>301.2</v>
      </c>
      <c r="I12" s="24">
        <v>391258.8</v>
      </c>
      <c r="J12" s="24">
        <v>138250.8</v>
      </c>
      <c r="K12" s="18">
        <f t="shared" si="0"/>
        <v>253008</v>
      </c>
      <c r="L12" s="19">
        <f t="shared" si="1"/>
        <v>0.353348729792148</v>
      </c>
    </row>
    <row r="13" spans="1:12">
      <c r="A13" s="10">
        <v>10021</v>
      </c>
      <c r="B13" s="20">
        <v>44580</v>
      </c>
      <c r="C13" t="s">
        <v>24</v>
      </c>
      <c r="D13" t="s">
        <v>18</v>
      </c>
      <c r="E13" s="14" t="s">
        <v>14</v>
      </c>
      <c r="F13" s="21">
        <v>199</v>
      </c>
      <c r="G13" s="21">
        <v>39</v>
      </c>
      <c r="H13" s="22">
        <v>315.1</v>
      </c>
      <c r="I13" s="24">
        <v>62704.9</v>
      </c>
      <c r="J13" s="24">
        <v>12288.9</v>
      </c>
      <c r="K13" s="18">
        <f t="shared" si="0"/>
        <v>50416</v>
      </c>
      <c r="L13" s="19">
        <f t="shared" si="1"/>
        <v>0.195979899497487</v>
      </c>
    </row>
    <row r="14" spans="1:12">
      <c r="A14" s="10">
        <v>10022</v>
      </c>
      <c r="B14" s="20">
        <v>44583</v>
      </c>
      <c r="C14" t="s">
        <v>12</v>
      </c>
      <c r="D14" t="s">
        <v>13</v>
      </c>
      <c r="E14" s="14" t="s">
        <v>14</v>
      </c>
      <c r="F14" s="23">
        <v>1099</v>
      </c>
      <c r="G14" s="23">
        <v>289</v>
      </c>
      <c r="H14" s="22">
        <v>142.4</v>
      </c>
      <c r="I14" s="24">
        <v>156497.6</v>
      </c>
      <c r="J14" s="24">
        <v>41153.6</v>
      </c>
      <c r="K14" s="18">
        <f t="shared" si="0"/>
        <v>115344</v>
      </c>
      <c r="L14" s="19">
        <f t="shared" si="1"/>
        <v>0.262966333030027</v>
      </c>
    </row>
    <row r="15" spans="1:12">
      <c r="A15" s="10">
        <v>10023</v>
      </c>
      <c r="B15" s="20">
        <v>44586</v>
      </c>
      <c r="C15" t="s">
        <v>23</v>
      </c>
      <c r="D15" t="s">
        <v>15</v>
      </c>
      <c r="E15" s="14" t="s">
        <v>14</v>
      </c>
      <c r="F15" s="21">
        <v>449</v>
      </c>
      <c r="G15" s="21">
        <v>159</v>
      </c>
      <c r="H15" s="22">
        <v>311</v>
      </c>
      <c r="I15" s="24">
        <v>139639</v>
      </c>
      <c r="J15" s="24">
        <v>49449</v>
      </c>
      <c r="K15" s="18">
        <f t="shared" si="0"/>
        <v>90190</v>
      </c>
      <c r="L15" s="19">
        <f t="shared" si="1"/>
        <v>0.354120267260579</v>
      </c>
    </row>
    <row r="16" spans="1:12">
      <c r="A16" s="10">
        <v>10024</v>
      </c>
      <c r="B16" s="20">
        <v>44596</v>
      </c>
      <c r="C16" t="s">
        <v>20</v>
      </c>
      <c r="D16" t="s">
        <v>18</v>
      </c>
      <c r="E16" s="14" t="s">
        <v>14</v>
      </c>
      <c r="F16" s="21">
        <v>599</v>
      </c>
      <c r="G16" s="21">
        <v>299</v>
      </c>
      <c r="H16" s="22">
        <v>378.2</v>
      </c>
      <c r="I16" s="24">
        <v>226541.8</v>
      </c>
      <c r="J16" s="24">
        <v>113081.8</v>
      </c>
      <c r="K16" s="18">
        <f t="shared" si="0"/>
        <v>113460</v>
      </c>
      <c r="L16" s="19">
        <f t="shared" si="1"/>
        <v>0.499165275459099</v>
      </c>
    </row>
    <row r="17" spans="1:12">
      <c r="A17" s="10">
        <v>10025</v>
      </c>
      <c r="B17" s="20">
        <v>44597</v>
      </c>
      <c r="C17" t="s">
        <v>23</v>
      </c>
      <c r="D17" t="s">
        <v>18</v>
      </c>
      <c r="E17" t="s">
        <v>22</v>
      </c>
      <c r="F17" s="21">
        <v>449</v>
      </c>
      <c r="G17" s="21">
        <v>159</v>
      </c>
      <c r="H17" s="22">
        <v>291.9</v>
      </c>
      <c r="I17" s="24">
        <v>131063.1</v>
      </c>
      <c r="J17" s="24">
        <v>46412.1</v>
      </c>
      <c r="K17" s="18">
        <f t="shared" si="0"/>
        <v>84651</v>
      </c>
      <c r="L17" s="19">
        <f t="shared" si="1"/>
        <v>0.354120267260579</v>
      </c>
    </row>
    <row r="18" spans="1:12">
      <c r="A18" s="10">
        <v>10026</v>
      </c>
      <c r="B18" s="20">
        <v>44598</v>
      </c>
      <c r="C18" t="s">
        <v>12</v>
      </c>
      <c r="D18" t="s">
        <v>18</v>
      </c>
      <c r="E18" t="s">
        <v>22</v>
      </c>
      <c r="F18" s="23">
        <v>1099</v>
      </c>
      <c r="G18" s="23">
        <v>289</v>
      </c>
      <c r="H18" s="22">
        <v>479.3</v>
      </c>
      <c r="I18" s="24">
        <v>526750.7</v>
      </c>
      <c r="J18" s="24">
        <v>138517.7</v>
      </c>
      <c r="K18" s="18">
        <f t="shared" si="0"/>
        <v>388233</v>
      </c>
      <c r="L18" s="19">
        <f t="shared" si="1"/>
        <v>0.262966333030027</v>
      </c>
    </row>
    <row r="19" spans="1:12">
      <c r="A19" s="10">
        <v>10027</v>
      </c>
      <c r="B19" s="20">
        <v>44599</v>
      </c>
      <c r="C19" t="s">
        <v>23</v>
      </c>
      <c r="D19" t="s">
        <v>13</v>
      </c>
      <c r="E19" t="s">
        <v>16</v>
      </c>
      <c r="F19" s="21">
        <v>449</v>
      </c>
      <c r="G19" s="21">
        <v>159</v>
      </c>
      <c r="H19" s="22">
        <v>115.1</v>
      </c>
      <c r="I19" s="24">
        <v>51679.9</v>
      </c>
      <c r="J19" s="24">
        <v>18300.9</v>
      </c>
      <c r="K19" s="18">
        <f t="shared" si="0"/>
        <v>33379</v>
      </c>
      <c r="L19" s="19">
        <f t="shared" si="1"/>
        <v>0.354120267260579</v>
      </c>
    </row>
    <row r="20" spans="1:12">
      <c r="A20" s="10">
        <v>10028</v>
      </c>
      <c r="B20" s="20">
        <v>44600</v>
      </c>
      <c r="C20" t="s">
        <v>12</v>
      </c>
      <c r="D20" t="s">
        <v>18</v>
      </c>
      <c r="E20" t="s">
        <v>22</v>
      </c>
      <c r="F20" s="23">
        <v>1099</v>
      </c>
      <c r="G20" s="23">
        <v>289</v>
      </c>
      <c r="H20" s="22">
        <v>347.8</v>
      </c>
      <c r="I20" s="24">
        <v>382232.2</v>
      </c>
      <c r="J20" s="24">
        <v>100514.2</v>
      </c>
      <c r="K20" s="18">
        <f t="shared" si="0"/>
        <v>281718</v>
      </c>
      <c r="L20" s="19">
        <f t="shared" si="1"/>
        <v>0.262966333030027</v>
      </c>
    </row>
    <row r="21" spans="1:12">
      <c r="A21" s="10">
        <v>10029</v>
      </c>
      <c r="B21" s="20">
        <v>44600</v>
      </c>
      <c r="C21" t="s">
        <v>17</v>
      </c>
      <c r="D21" t="s">
        <v>18</v>
      </c>
      <c r="E21" t="s">
        <v>22</v>
      </c>
      <c r="F21" s="21">
        <v>1299</v>
      </c>
      <c r="G21" s="21">
        <v>459</v>
      </c>
      <c r="H21" s="22">
        <v>222.4</v>
      </c>
      <c r="I21" s="24">
        <v>288897.6</v>
      </c>
      <c r="J21" s="24">
        <v>102081.6</v>
      </c>
      <c r="K21" s="18">
        <f t="shared" si="0"/>
        <v>186816</v>
      </c>
      <c r="L21" s="19">
        <f t="shared" si="1"/>
        <v>0.353348729792148</v>
      </c>
    </row>
    <row r="22" spans="1:12">
      <c r="A22" s="10">
        <v>10030</v>
      </c>
      <c r="B22" s="20">
        <v>44600</v>
      </c>
      <c r="C22" t="s">
        <v>12</v>
      </c>
      <c r="D22" t="s">
        <v>18</v>
      </c>
      <c r="E22" t="s">
        <v>19</v>
      </c>
      <c r="F22" s="23">
        <v>1099</v>
      </c>
      <c r="G22" s="23">
        <v>289</v>
      </c>
      <c r="H22" s="22">
        <v>276.5</v>
      </c>
      <c r="I22" s="24">
        <v>303873.5</v>
      </c>
      <c r="J22" s="24">
        <v>79908.5</v>
      </c>
      <c r="K22" s="18">
        <f t="shared" si="0"/>
        <v>223965</v>
      </c>
      <c r="L22" s="19">
        <f t="shared" si="1"/>
        <v>0.262966333030027</v>
      </c>
    </row>
    <row r="23" spans="1:12">
      <c r="A23" s="10">
        <v>10031</v>
      </c>
      <c r="B23" s="20">
        <v>44600</v>
      </c>
      <c r="C23" t="s">
        <v>12</v>
      </c>
      <c r="D23" t="s">
        <v>13</v>
      </c>
      <c r="E23" t="s">
        <v>19</v>
      </c>
      <c r="F23" s="23">
        <v>1099</v>
      </c>
      <c r="G23" s="23">
        <v>289</v>
      </c>
      <c r="H23" s="22">
        <v>151.2</v>
      </c>
      <c r="I23" s="24">
        <v>166168.8</v>
      </c>
      <c r="J23" s="24">
        <v>43696.8</v>
      </c>
      <c r="K23" s="18">
        <f t="shared" si="0"/>
        <v>122472</v>
      </c>
      <c r="L23" s="19">
        <f t="shared" si="1"/>
        <v>0.262966333030027</v>
      </c>
    </row>
    <row r="24" spans="1:12">
      <c r="A24" s="10">
        <v>10032</v>
      </c>
      <c r="B24" s="20">
        <v>44600</v>
      </c>
      <c r="C24" t="s">
        <v>24</v>
      </c>
      <c r="D24" t="s">
        <v>13</v>
      </c>
      <c r="E24" t="s">
        <v>19</v>
      </c>
      <c r="F24" s="21">
        <v>199</v>
      </c>
      <c r="G24" s="21">
        <v>39</v>
      </c>
      <c r="H24" s="22">
        <v>171.6</v>
      </c>
      <c r="I24" s="24">
        <v>34148.4</v>
      </c>
      <c r="J24" s="24">
        <v>6692.4</v>
      </c>
      <c r="K24" s="18">
        <f t="shared" si="0"/>
        <v>27456</v>
      </c>
      <c r="L24" s="19">
        <f t="shared" si="1"/>
        <v>0.195979899497487</v>
      </c>
    </row>
    <row r="25" spans="1:12">
      <c r="A25" s="10">
        <v>10033</v>
      </c>
      <c r="B25" s="20">
        <v>44635</v>
      </c>
      <c r="C25" t="s">
        <v>20</v>
      </c>
      <c r="D25" t="s">
        <v>15</v>
      </c>
      <c r="E25" t="s">
        <v>19</v>
      </c>
      <c r="F25" s="21">
        <v>599</v>
      </c>
      <c r="G25" s="21">
        <v>299</v>
      </c>
      <c r="H25" s="22">
        <v>365.4</v>
      </c>
      <c r="I25" s="24">
        <v>218874.6</v>
      </c>
      <c r="J25" s="24">
        <v>109254.6</v>
      </c>
      <c r="K25" s="18">
        <f t="shared" si="0"/>
        <v>109620</v>
      </c>
      <c r="L25" s="19">
        <f t="shared" si="1"/>
        <v>0.499165275459098</v>
      </c>
    </row>
    <row r="26" spans="1:12">
      <c r="A26" s="10">
        <v>10034</v>
      </c>
      <c r="B26" s="20">
        <v>44635</v>
      </c>
      <c r="C26" t="s">
        <v>17</v>
      </c>
      <c r="D26" t="s">
        <v>15</v>
      </c>
      <c r="E26" s="14" t="s">
        <v>14</v>
      </c>
      <c r="F26" s="21">
        <v>1299</v>
      </c>
      <c r="G26" s="21">
        <v>459</v>
      </c>
      <c r="H26" s="22">
        <v>156.1</v>
      </c>
      <c r="I26" s="24">
        <v>202773.9</v>
      </c>
      <c r="J26" s="24">
        <v>71649.9</v>
      </c>
      <c r="K26" s="18">
        <f t="shared" si="0"/>
        <v>131124</v>
      </c>
      <c r="L26" s="19">
        <f t="shared" si="1"/>
        <v>0.353348729792148</v>
      </c>
    </row>
    <row r="27" spans="1:12">
      <c r="A27" s="10">
        <v>10035</v>
      </c>
      <c r="B27" s="20">
        <v>44635</v>
      </c>
      <c r="C27" t="s">
        <v>17</v>
      </c>
      <c r="D27" t="s">
        <v>13</v>
      </c>
      <c r="E27" t="s">
        <v>19</v>
      </c>
      <c r="F27" s="21">
        <v>1299</v>
      </c>
      <c r="G27" s="21">
        <v>459</v>
      </c>
      <c r="H27" s="22">
        <v>208.3</v>
      </c>
      <c r="I27" s="24">
        <v>270581.7</v>
      </c>
      <c r="J27" s="24">
        <v>95609.7</v>
      </c>
      <c r="K27" s="18">
        <f t="shared" si="0"/>
        <v>174972</v>
      </c>
      <c r="L27" s="19">
        <f t="shared" si="1"/>
        <v>0.353348729792148</v>
      </c>
    </row>
    <row r="28" spans="1:12">
      <c r="A28" s="10">
        <v>10036</v>
      </c>
      <c r="B28" s="20">
        <v>44635</v>
      </c>
      <c r="C28" t="s">
        <v>17</v>
      </c>
      <c r="D28" t="s">
        <v>15</v>
      </c>
      <c r="E28" s="14" t="s">
        <v>14</v>
      </c>
      <c r="F28" s="21">
        <v>1299</v>
      </c>
      <c r="G28" s="21">
        <v>459</v>
      </c>
      <c r="H28" s="22">
        <v>267.3</v>
      </c>
      <c r="I28" s="24">
        <v>347222.7</v>
      </c>
      <c r="J28" s="24">
        <v>122690.7</v>
      </c>
      <c r="K28" s="18">
        <f t="shared" si="0"/>
        <v>224532</v>
      </c>
      <c r="L28" s="19">
        <f t="shared" si="1"/>
        <v>0.353348729792148</v>
      </c>
    </row>
    <row r="29" spans="1:12">
      <c r="A29" s="10">
        <v>10037</v>
      </c>
      <c r="B29" s="20">
        <v>44637</v>
      </c>
      <c r="C29" t="s">
        <v>20</v>
      </c>
      <c r="D29" t="s">
        <v>15</v>
      </c>
      <c r="E29" s="14" t="s">
        <v>14</v>
      </c>
      <c r="F29" s="21">
        <v>599</v>
      </c>
      <c r="G29" s="21">
        <v>299</v>
      </c>
      <c r="H29" s="22">
        <v>338.5</v>
      </c>
      <c r="I29" s="24">
        <v>202761.5</v>
      </c>
      <c r="J29" s="24">
        <v>101211.5</v>
      </c>
      <c r="K29" s="18">
        <f t="shared" si="0"/>
        <v>101550</v>
      </c>
      <c r="L29" s="19">
        <f t="shared" si="1"/>
        <v>0.499165275459099</v>
      </c>
    </row>
    <row r="30" spans="1:12">
      <c r="A30" s="10">
        <v>10038</v>
      </c>
      <c r="B30" s="20">
        <v>44639</v>
      </c>
      <c r="C30" t="s">
        <v>12</v>
      </c>
      <c r="D30" t="s">
        <v>18</v>
      </c>
      <c r="E30" t="s">
        <v>19</v>
      </c>
      <c r="F30" s="23">
        <v>1099</v>
      </c>
      <c r="G30" s="23">
        <v>289</v>
      </c>
      <c r="H30" s="22">
        <v>321.8</v>
      </c>
      <c r="I30" s="24">
        <v>353658.2</v>
      </c>
      <c r="J30" s="24">
        <v>93000.2</v>
      </c>
      <c r="K30" s="18">
        <f t="shared" si="0"/>
        <v>260658</v>
      </c>
      <c r="L30" s="19">
        <f t="shared" si="1"/>
        <v>0.262966333030027</v>
      </c>
    </row>
    <row r="31" spans="1:12">
      <c r="A31" s="10">
        <v>10039</v>
      </c>
      <c r="B31" s="20">
        <v>44641</v>
      </c>
      <c r="C31" t="s">
        <v>24</v>
      </c>
      <c r="D31" t="s">
        <v>15</v>
      </c>
      <c r="E31" t="s">
        <v>22</v>
      </c>
      <c r="F31" s="21">
        <v>199</v>
      </c>
      <c r="G31" s="21">
        <v>39</v>
      </c>
      <c r="H31" s="22">
        <v>368.7</v>
      </c>
      <c r="I31" s="24">
        <v>73371.3</v>
      </c>
      <c r="J31" s="24">
        <v>14379.3</v>
      </c>
      <c r="K31" s="18">
        <f t="shared" si="0"/>
        <v>58992</v>
      </c>
      <c r="L31" s="19">
        <f t="shared" si="1"/>
        <v>0.195979899497487</v>
      </c>
    </row>
    <row r="32" spans="1:12">
      <c r="A32" s="10">
        <v>10040</v>
      </c>
      <c r="B32" s="20">
        <v>44643</v>
      </c>
      <c r="C32" t="s">
        <v>17</v>
      </c>
      <c r="D32" t="s">
        <v>13</v>
      </c>
      <c r="E32" t="s">
        <v>16</v>
      </c>
      <c r="F32" s="21">
        <v>1299</v>
      </c>
      <c r="G32" s="21">
        <v>459</v>
      </c>
      <c r="H32" s="22">
        <v>126.9</v>
      </c>
      <c r="I32" s="24">
        <v>164843.1</v>
      </c>
      <c r="J32" s="24">
        <v>58247.1</v>
      </c>
      <c r="K32" s="18">
        <f t="shared" si="0"/>
        <v>106596</v>
      </c>
      <c r="L32" s="19">
        <f t="shared" si="1"/>
        <v>0.353348729792148</v>
      </c>
    </row>
    <row r="33" spans="1:12">
      <c r="A33" s="10">
        <v>10041</v>
      </c>
      <c r="B33" s="20">
        <v>44645</v>
      </c>
      <c r="C33" t="s">
        <v>20</v>
      </c>
      <c r="D33" t="s">
        <v>21</v>
      </c>
      <c r="E33" t="s">
        <v>19</v>
      </c>
      <c r="F33" s="21">
        <v>599</v>
      </c>
      <c r="G33" s="21">
        <v>299</v>
      </c>
      <c r="H33" s="22">
        <v>390</v>
      </c>
      <c r="I33" s="24">
        <v>233610</v>
      </c>
      <c r="J33" s="24">
        <v>116610</v>
      </c>
      <c r="K33" s="18">
        <f t="shared" si="0"/>
        <v>117000</v>
      </c>
      <c r="L33" s="19">
        <f t="shared" si="1"/>
        <v>0.499165275459099</v>
      </c>
    </row>
    <row r="34" spans="1:12">
      <c r="A34" s="10">
        <v>10042</v>
      </c>
      <c r="B34" s="20">
        <v>44647</v>
      </c>
      <c r="C34" t="s">
        <v>17</v>
      </c>
      <c r="D34" t="s">
        <v>21</v>
      </c>
      <c r="E34" t="s">
        <v>16</v>
      </c>
      <c r="F34" s="21">
        <v>1299</v>
      </c>
      <c r="G34" s="21">
        <v>459</v>
      </c>
      <c r="H34" s="22">
        <v>388.3</v>
      </c>
      <c r="I34" s="24">
        <v>504401.7</v>
      </c>
      <c r="J34" s="24">
        <v>178229.7</v>
      </c>
      <c r="K34" s="18">
        <f t="shared" si="0"/>
        <v>326172</v>
      </c>
      <c r="L34" s="19">
        <f t="shared" si="1"/>
        <v>0.353348729792148</v>
      </c>
    </row>
    <row r="35" spans="1:12">
      <c r="A35" s="10">
        <v>10043</v>
      </c>
      <c r="B35" s="20">
        <v>44649</v>
      </c>
      <c r="C35" t="s">
        <v>17</v>
      </c>
      <c r="D35" t="s">
        <v>21</v>
      </c>
      <c r="E35" t="s">
        <v>19</v>
      </c>
      <c r="F35" s="21">
        <v>1299</v>
      </c>
      <c r="G35" s="21">
        <v>459</v>
      </c>
      <c r="H35" s="22">
        <v>112</v>
      </c>
      <c r="I35" s="24">
        <v>145488</v>
      </c>
      <c r="J35" s="24">
        <v>51408</v>
      </c>
      <c r="K35" s="18">
        <f t="shared" si="0"/>
        <v>94080</v>
      </c>
      <c r="L35" s="19">
        <f t="shared" si="1"/>
        <v>0.353348729792148</v>
      </c>
    </row>
    <row r="36" spans="1:12">
      <c r="A36" s="10">
        <v>10044</v>
      </c>
      <c r="B36" s="20">
        <v>44651</v>
      </c>
      <c r="C36" t="s">
        <v>24</v>
      </c>
      <c r="D36" t="s">
        <v>21</v>
      </c>
      <c r="E36" s="14" t="s">
        <v>14</v>
      </c>
      <c r="F36" s="21">
        <v>199</v>
      </c>
      <c r="G36" s="21">
        <v>39</v>
      </c>
      <c r="H36" s="22">
        <v>331.7</v>
      </c>
      <c r="I36" s="24">
        <v>66008.3</v>
      </c>
      <c r="J36" s="24">
        <v>12936.3</v>
      </c>
      <c r="K36" s="18">
        <f t="shared" si="0"/>
        <v>53072</v>
      </c>
      <c r="L36" s="19">
        <f t="shared" si="1"/>
        <v>0.195979899497487</v>
      </c>
    </row>
    <row r="37" spans="1:12">
      <c r="A37" s="10">
        <v>10045</v>
      </c>
      <c r="B37" s="20">
        <v>44653</v>
      </c>
      <c r="C37" t="s">
        <v>24</v>
      </c>
      <c r="D37" t="s">
        <v>15</v>
      </c>
      <c r="E37" s="14" t="s">
        <v>14</v>
      </c>
      <c r="F37" s="21">
        <v>199</v>
      </c>
      <c r="G37" s="21">
        <v>39</v>
      </c>
      <c r="H37" s="22">
        <v>171</v>
      </c>
      <c r="I37" s="24">
        <v>34029</v>
      </c>
      <c r="J37" s="24">
        <v>6669</v>
      </c>
      <c r="K37" s="18">
        <f t="shared" si="0"/>
        <v>27360</v>
      </c>
      <c r="L37" s="19">
        <f t="shared" si="1"/>
        <v>0.195979899497487</v>
      </c>
    </row>
    <row r="38" spans="1:12">
      <c r="A38" s="10">
        <v>10046</v>
      </c>
      <c r="B38" s="20">
        <v>44655</v>
      </c>
      <c r="C38" t="s">
        <v>17</v>
      </c>
      <c r="D38" t="s">
        <v>21</v>
      </c>
      <c r="E38" t="s">
        <v>19</v>
      </c>
      <c r="F38" s="21">
        <v>1299</v>
      </c>
      <c r="G38" s="21">
        <v>459</v>
      </c>
      <c r="H38" s="22">
        <v>167.2</v>
      </c>
      <c r="I38" s="24">
        <v>217192.8</v>
      </c>
      <c r="J38" s="24">
        <v>76744.8</v>
      </c>
      <c r="K38" s="18">
        <f t="shared" si="0"/>
        <v>140448</v>
      </c>
      <c r="L38" s="19">
        <f t="shared" si="1"/>
        <v>0.353348729792148</v>
      </c>
    </row>
    <row r="39" spans="1:12">
      <c r="A39" s="10">
        <v>10047</v>
      </c>
      <c r="B39" s="20">
        <v>44657</v>
      </c>
      <c r="C39" t="s">
        <v>24</v>
      </c>
      <c r="D39" t="s">
        <v>15</v>
      </c>
      <c r="E39" t="s">
        <v>19</v>
      </c>
      <c r="F39" s="21">
        <v>199</v>
      </c>
      <c r="G39" s="21">
        <v>39</v>
      </c>
      <c r="H39" s="22">
        <v>357.8</v>
      </c>
      <c r="I39" s="24">
        <v>71202.2</v>
      </c>
      <c r="J39" s="24">
        <v>13954.2</v>
      </c>
      <c r="K39" s="18">
        <f t="shared" si="0"/>
        <v>57248</v>
      </c>
      <c r="L39" s="19">
        <f t="shared" si="1"/>
        <v>0.195979899497487</v>
      </c>
    </row>
    <row r="40" spans="1:12">
      <c r="A40" s="10">
        <v>10048</v>
      </c>
      <c r="B40" s="20">
        <v>44659</v>
      </c>
      <c r="C40" t="s">
        <v>23</v>
      </c>
      <c r="D40" t="s">
        <v>21</v>
      </c>
      <c r="E40" t="s">
        <v>19</v>
      </c>
      <c r="F40" s="21">
        <v>449</v>
      </c>
      <c r="G40" s="21">
        <v>159</v>
      </c>
      <c r="H40" s="22">
        <v>396.2</v>
      </c>
      <c r="I40" s="24">
        <v>177893.8</v>
      </c>
      <c r="J40" s="24">
        <v>62995.8</v>
      </c>
      <c r="K40" s="18">
        <f t="shared" si="0"/>
        <v>114898</v>
      </c>
      <c r="L40" s="19">
        <f t="shared" si="1"/>
        <v>0.354120267260579</v>
      </c>
    </row>
    <row r="41" spans="1:12">
      <c r="A41" s="10">
        <v>10049</v>
      </c>
      <c r="B41" s="20">
        <v>44661</v>
      </c>
      <c r="C41" t="s">
        <v>23</v>
      </c>
      <c r="D41" t="s">
        <v>21</v>
      </c>
      <c r="E41" t="s">
        <v>19</v>
      </c>
      <c r="F41" s="21">
        <v>449</v>
      </c>
      <c r="G41" s="21">
        <v>159</v>
      </c>
      <c r="H41" s="22">
        <v>314.2</v>
      </c>
      <c r="I41" s="24">
        <v>141075.8</v>
      </c>
      <c r="J41" s="24">
        <v>49957.8</v>
      </c>
      <c r="K41" s="18">
        <f t="shared" si="0"/>
        <v>91118</v>
      </c>
      <c r="L41" s="19">
        <f t="shared" si="1"/>
        <v>0.354120267260579</v>
      </c>
    </row>
    <row r="42" spans="1:12">
      <c r="A42" s="10">
        <v>10050</v>
      </c>
      <c r="B42" s="20">
        <v>44663</v>
      </c>
      <c r="C42" t="s">
        <v>20</v>
      </c>
      <c r="D42" t="s">
        <v>18</v>
      </c>
      <c r="E42" t="s">
        <v>16</v>
      </c>
      <c r="F42" s="21">
        <v>599</v>
      </c>
      <c r="G42" s="21">
        <v>299</v>
      </c>
      <c r="H42" s="22">
        <v>497.7</v>
      </c>
      <c r="I42" s="24">
        <v>298122.3</v>
      </c>
      <c r="J42" s="24">
        <v>148812.3</v>
      </c>
      <c r="K42" s="18">
        <f t="shared" si="0"/>
        <v>149310</v>
      </c>
      <c r="L42" s="19">
        <f t="shared" si="1"/>
        <v>0.499165275459099</v>
      </c>
    </row>
    <row r="43" spans="1:12">
      <c r="A43" s="10">
        <v>10051</v>
      </c>
      <c r="B43" s="20">
        <v>44665</v>
      </c>
      <c r="C43" t="s">
        <v>20</v>
      </c>
      <c r="D43" t="s">
        <v>21</v>
      </c>
      <c r="E43" t="s">
        <v>22</v>
      </c>
      <c r="F43" s="21">
        <v>599</v>
      </c>
      <c r="G43" s="21">
        <v>299</v>
      </c>
      <c r="H43" s="22">
        <v>125.4</v>
      </c>
      <c r="I43" s="24">
        <v>75114.6</v>
      </c>
      <c r="J43" s="24">
        <v>37494.6</v>
      </c>
      <c r="K43" s="18">
        <f t="shared" si="0"/>
        <v>37620</v>
      </c>
      <c r="L43" s="19">
        <f t="shared" si="1"/>
        <v>0.499165275459098</v>
      </c>
    </row>
    <row r="44" spans="1:12">
      <c r="A44" s="10">
        <v>10052</v>
      </c>
      <c r="B44" s="20">
        <v>44667</v>
      </c>
      <c r="C44" t="s">
        <v>24</v>
      </c>
      <c r="D44" t="s">
        <v>15</v>
      </c>
      <c r="E44" t="s">
        <v>22</v>
      </c>
      <c r="F44" s="21">
        <v>199</v>
      </c>
      <c r="G44" s="21">
        <v>39</v>
      </c>
      <c r="H44" s="22">
        <v>411.2</v>
      </c>
      <c r="I44" s="24">
        <v>81828.8</v>
      </c>
      <c r="J44" s="24">
        <v>16036.8</v>
      </c>
      <c r="K44" s="18">
        <f t="shared" si="0"/>
        <v>65792</v>
      </c>
      <c r="L44" s="19">
        <f t="shared" si="1"/>
        <v>0.195979899497487</v>
      </c>
    </row>
    <row r="45" spans="1:12">
      <c r="A45" s="10">
        <v>10053</v>
      </c>
      <c r="B45" s="20">
        <v>44669</v>
      </c>
      <c r="C45" t="s">
        <v>24</v>
      </c>
      <c r="D45" t="s">
        <v>15</v>
      </c>
      <c r="E45" s="14" t="s">
        <v>14</v>
      </c>
      <c r="F45" s="21">
        <v>199</v>
      </c>
      <c r="G45" s="21">
        <v>39</v>
      </c>
      <c r="H45" s="22">
        <v>194.3</v>
      </c>
      <c r="I45" s="24">
        <v>38665.7</v>
      </c>
      <c r="J45" s="24">
        <v>7577.7</v>
      </c>
      <c r="K45" s="18">
        <f t="shared" si="0"/>
        <v>31088</v>
      </c>
      <c r="L45" s="19">
        <f t="shared" si="1"/>
        <v>0.195979899497487</v>
      </c>
    </row>
    <row r="46" spans="1:12">
      <c r="A46" s="10">
        <v>10054</v>
      </c>
      <c r="B46" s="20">
        <v>44671</v>
      </c>
      <c r="C46" t="s">
        <v>24</v>
      </c>
      <c r="D46" t="s">
        <v>18</v>
      </c>
      <c r="E46" s="14" t="s">
        <v>14</v>
      </c>
      <c r="F46" s="21">
        <v>199</v>
      </c>
      <c r="G46" s="21">
        <v>39</v>
      </c>
      <c r="H46" s="22">
        <v>167.9</v>
      </c>
      <c r="I46" s="24">
        <v>33412.1</v>
      </c>
      <c r="J46" s="24">
        <v>6548.1</v>
      </c>
      <c r="K46" s="18">
        <f t="shared" si="0"/>
        <v>26864</v>
      </c>
      <c r="L46" s="19">
        <f t="shared" si="1"/>
        <v>0.195979899497487</v>
      </c>
    </row>
    <row r="47" spans="1:12">
      <c r="A47" s="10">
        <v>10055</v>
      </c>
      <c r="B47" s="20">
        <v>44673</v>
      </c>
      <c r="C47" t="s">
        <v>12</v>
      </c>
      <c r="D47" t="s">
        <v>21</v>
      </c>
      <c r="E47" s="14" t="s">
        <v>14</v>
      </c>
      <c r="F47" s="23">
        <v>1099</v>
      </c>
      <c r="G47" s="23">
        <v>289</v>
      </c>
      <c r="H47" s="22">
        <v>132.2</v>
      </c>
      <c r="I47" s="24">
        <v>145287.8</v>
      </c>
      <c r="J47" s="24">
        <v>38205.8</v>
      </c>
      <c r="K47" s="18">
        <f t="shared" si="0"/>
        <v>107082</v>
      </c>
      <c r="L47" s="19">
        <f t="shared" si="1"/>
        <v>0.262966333030027</v>
      </c>
    </row>
    <row r="48" spans="1:12">
      <c r="A48" s="10">
        <v>10056</v>
      </c>
      <c r="B48" s="20">
        <v>44675</v>
      </c>
      <c r="C48" t="s">
        <v>12</v>
      </c>
      <c r="D48" t="s">
        <v>18</v>
      </c>
      <c r="E48" s="14" t="s">
        <v>14</v>
      </c>
      <c r="F48" s="23">
        <v>1099</v>
      </c>
      <c r="G48" s="23">
        <v>289</v>
      </c>
      <c r="H48" s="22">
        <v>139.4</v>
      </c>
      <c r="I48" s="24">
        <v>153200.6</v>
      </c>
      <c r="J48" s="24">
        <v>40286.6</v>
      </c>
      <c r="K48" s="18">
        <f t="shared" si="0"/>
        <v>112914</v>
      </c>
      <c r="L48" s="19">
        <f t="shared" si="1"/>
        <v>0.262966333030027</v>
      </c>
    </row>
    <row r="49" spans="1:12">
      <c r="A49" s="10">
        <v>10057</v>
      </c>
      <c r="B49" s="20">
        <v>44677</v>
      </c>
      <c r="C49" t="s">
        <v>12</v>
      </c>
      <c r="D49" t="s">
        <v>15</v>
      </c>
      <c r="E49" s="14" t="s">
        <v>14</v>
      </c>
      <c r="F49" s="23">
        <v>1099</v>
      </c>
      <c r="G49" s="23">
        <v>289</v>
      </c>
      <c r="H49" s="22">
        <v>106</v>
      </c>
      <c r="I49" s="24">
        <v>116494</v>
      </c>
      <c r="J49" s="24">
        <v>30634</v>
      </c>
      <c r="K49" s="18">
        <f t="shared" si="0"/>
        <v>85860</v>
      </c>
      <c r="L49" s="19">
        <f t="shared" si="1"/>
        <v>0.262966333030027</v>
      </c>
    </row>
    <row r="50" spans="1:12">
      <c r="A50" s="10">
        <v>10058</v>
      </c>
      <c r="B50" s="20">
        <v>44679</v>
      </c>
      <c r="C50" t="s">
        <v>20</v>
      </c>
      <c r="D50" t="s">
        <v>18</v>
      </c>
      <c r="E50" t="s">
        <v>22</v>
      </c>
      <c r="F50" s="21">
        <v>599</v>
      </c>
      <c r="G50" s="21">
        <v>299</v>
      </c>
      <c r="H50" s="22">
        <v>271.9</v>
      </c>
      <c r="I50" s="24">
        <v>162868.1</v>
      </c>
      <c r="J50" s="24">
        <v>81298.1</v>
      </c>
      <c r="K50" s="18">
        <f t="shared" si="0"/>
        <v>81570</v>
      </c>
      <c r="L50" s="19">
        <f t="shared" si="1"/>
        <v>0.499165275459098</v>
      </c>
    </row>
    <row r="51" spans="1:12">
      <c r="A51" s="10">
        <v>10059</v>
      </c>
      <c r="B51" s="20">
        <v>44681</v>
      </c>
      <c r="C51" t="s">
        <v>24</v>
      </c>
      <c r="D51" t="s">
        <v>15</v>
      </c>
      <c r="E51" t="s">
        <v>16</v>
      </c>
      <c r="F51" s="21">
        <v>199</v>
      </c>
      <c r="G51" s="21">
        <v>39</v>
      </c>
      <c r="H51" s="22">
        <v>236</v>
      </c>
      <c r="I51" s="24">
        <v>46964</v>
      </c>
      <c r="J51" s="24">
        <v>9204</v>
      </c>
      <c r="K51" s="18">
        <f t="shared" si="0"/>
        <v>37760</v>
      </c>
      <c r="L51" s="19">
        <f t="shared" si="1"/>
        <v>0.195979899497487</v>
      </c>
    </row>
    <row r="52" spans="1:12">
      <c r="A52" s="10">
        <v>10060</v>
      </c>
      <c r="B52" s="20">
        <v>44683</v>
      </c>
      <c r="C52" t="s">
        <v>17</v>
      </c>
      <c r="D52" t="s">
        <v>18</v>
      </c>
      <c r="E52" t="s">
        <v>16</v>
      </c>
      <c r="F52" s="21">
        <v>1299</v>
      </c>
      <c r="G52" s="21">
        <v>459</v>
      </c>
      <c r="H52" s="22">
        <v>339.8</v>
      </c>
      <c r="I52" s="24">
        <v>441400.2</v>
      </c>
      <c r="J52" s="24">
        <v>155968.2</v>
      </c>
      <c r="K52" s="18">
        <f t="shared" si="0"/>
        <v>285432</v>
      </c>
      <c r="L52" s="19">
        <f t="shared" si="1"/>
        <v>0.353348729792148</v>
      </c>
    </row>
    <row r="53" spans="1:12">
      <c r="A53" s="10">
        <v>10061</v>
      </c>
      <c r="B53" s="20">
        <v>44685</v>
      </c>
      <c r="C53" t="s">
        <v>20</v>
      </c>
      <c r="D53" t="s">
        <v>18</v>
      </c>
      <c r="E53" t="s">
        <v>19</v>
      </c>
      <c r="F53" s="21">
        <v>599</v>
      </c>
      <c r="G53" s="21">
        <v>299</v>
      </c>
      <c r="H53" s="22">
        <v>403.6</v>
      </c>
      <c r="I53" s="24">
        <v>241756.4</v>
      </c>
      <c r="J53" s="24">
        <v>120676.4</v>
      </c>
      <c r="K53" s="18">
        <f t="shared" si="0"/>
        <v>121080</v>
      </c>
      <c r="L53" s="19">
        <f t="shared" si="1"/>
        <v>0.499165275459099</v>
      </c>
    </row>
    <row r="54" spans="1:12">
      <c r="A54" s="10">
        <v>10062</v>
      </c>
      <c r="B54" s="20">
        <v>44687</v>
      </c>
      <c r="C54" t="s">
        <v>17</v>
      </c>
      <c r="D54" t="s">
        <v>21</v>
      </c>
      <c r="E54" t="s">
        <v>19</v>
      </c>
      <c r="F54" s="21">
        <v>1299</v>
      </c>
      <c r="G54" s="21">
        <v>459</v>
      </c>
      <c r="H54" s="22">
        <v>218.6</v>
      </c>
      <c r="I54" s="24">
        <v>283961.4</v>
      </c>
      <c r="J54" s="24">
        <v>100337.4</v>
      </c>
      <c r="K54" s="18">
        <f t="shared" si="0"/>
        <v>183624</v>
      </c>
      <c r="L54" s="19">
        <f t="shared" si="1"/>
        <v>0.353348729792148</v>
      </c>
    </row>
    <row r="55" spans="1:12">
      <c r="A55" s="10">
        <v>10063</v>
      </c>
      <c r="B55" s="20">
        <v>44689</v>
      </c>
      <c r="C55" t="s">
        <v>17</v>
      </c>
      <c r="D55" t="s">
        <v>21</v>
      </c>
      <c r="E55" t="s">
        <v>16</v>
      </c>
      <c r="F55" s="21">
        <v>1299</v>
      </c>
      <c r="G55" s="21">
        <v>459</v>
      </c>
      <c r="H55" s="22">
        <v>462.2</v>
      </c>
      <c r="I55" s="24">
        <v>600397.8</v>
      </c>
      <c r="J55" s="24">
        <v>212149.8</v>
      </c>
      <c r="K55" s="18">
        <f t="shared" si="0"/>
        <v>388248</v>
      </c>
      <c r="L55" s="19">
        <f t="shared" si="1"/>
        <v>0.353348729792148</v>
      </c>
    </row>
    <row r="56" spans="1:12">
      <c r="A56" s="10">
        <v>10064</v>
      </c>
      <c r="B56" s="20">
        <v>44691</v>
      </c>
      <c r="C56" t="s">
        <v>23</v>
      </c>
      <c r="D56" t="s">
        <v>15</v>
      </c>
      <c r="E56" t="s">
        <v>19</v>
      </c>
      <c r="F56" s="21">
        <v>449</v>
      </c>
      <c r="G56" s="21">
        <v>159</v>
      </c>
      <c r="H56" s="22">
        <v>210.9</v>
      </c>
      <c r="I56" s="24">
        <v>94694.1</v>
      </c>
      <c r="J56" s="24">
        <v>33533.1</v>
      </c>
      <c r="K56" s="18">
        <f t="shared" si="0"/>
        <v>61161</v>
      </c>
      <c r="L56" s="19">
        <f t="shared" si="1"/>
        <v>0.354120267260579</v>
      </c>
    </row>
    <row r="57" spans="1:12">
      <c r="A57" s="10">
        <v>10065</v>
      </c>
      <c r="B57" s="20">
        <v>44693</v>
      </c>
      <c r="C57" t="s">
        <v>23</v>
      </c>
      <c r="D57" t="s">
        <v>18</v>
      </c>
      <c r="E57" t="s">
        <v>16</v>
      </c>
      <c r="F57" s="21">
        <v>449</v>
      </c>
      <c r="G57" s="21">
        <v>159</v>
      </c>
      <c r="H57" s="22">
        <v>453.4</v>
      </c>
      <c r="I57" s="24">
        <v>203576.6</v>
      </c>
      <c r="J57" s="24">
        <v>72090.6</v>
      </c>
      <c r="K57" s="18">
        <f t="shared" si="0"/>
        <v>131486</v>
      </c>
      <c r="L57" s="19">
        <f t="shared" si="1"/>
        <v>0.354120267260579</v>
      </c>
    </row>
    <row r="58" spans="1:12">
      <c r="A58" s="10">
        <v>10066</v>
      </c>
      <c r="B58" s="20">
        <v>44695</v>
      </c>
      <c r="C58" t="s">
        <v>24</v>
      </c>
      <c r="D58" t="s">
        <v>21</v>
      </c>
      <c r="E58" t="s">
        <v>16</v>
      </c>
      <c r="F58" s="21">
        <v>199</v>
      </c>
      <c r="G58" s="21">
        <v>39</v>
      </c>
      <c r="H58" s="22">
        <v>471.9</v>
      </c>
      <c r="I58" s="24">
        <v>93908.1</v>
      </c>
      <c r="J58" s="24">
        <v>18404.1</v>
      </c>
      <c r="K58" s="18">
        <f t="shared" si="0"/>
        <v>75504</v>
      </c>
      <c r="L58" s="19">
        <f t="shared" si="1"/>
        <v>0.195979899497487</v>
      </c>
    </row>
    <row r="59" spans="1:12">
      <c r="A59" s="10">
        <v>10067</v>
      </c>
      <c r="B59" s="20">
        <v>44697</v>
      </c>
      <c r="C59" t="s">
        <v>23</v>
      </c>
      <c r="D59" t="s">
        <v>18</v>
      </c>
      <c r="E59" t="s">
        <v>16</v>
      </c>
      <c r="F59" s="21">
        <v>449</v>
      </c>
      <c r="G59" s="21">
        <v>159</v>
      </c>
      <c r="H59" s="22">
        <v>128.3</v>
      </c>
      <c r="I59" s="24">
        <v>57606.7</v>
      </c>
      <c r="J59" s="24">
        <v>20399.7</v>
      </c>
      <c r="K59" s="18">
        <f t="shared" si="0"/>
        <v>37207</v>
      </c>
      <c r="L59" s="19">
        <f t="shared" si="1"/>
        <v>0.354120267260579</v>
      </c>
    </row>
    <row r="60" spans="1:12">
      <c r="A60" s="10">
        <v>10068</v>
      </c>
      <c r="B60" s="20">
        <v>44699</v>
      </c>
      <c r="C60" t="s">
        <v>20</v>
      </c>
      <c r="D60" t="s">
        <v>15</v>
      </c>
      <c r="E60" t="s">
        <v>16</v>
      </c>
      <c r="F60" s="21">
        <v>599</v>
      </c>
      <c r="G60" s="21">
        <v>299</v>
      </c>
      <c r="H60" s="22">
        <v>198.2</v>
      </c>
      <c r="I60" s="24">
        <v>118721.8</v>
      </c>
      <c r="J60" s="24">
        <v>59261.8</v>
      </c>
      <c r="K60" s="18">
        <f t="shared" si="0"/>
        <v>59460</v>
      </c>
      <c r="L60" s="19">
        <f t="shared" si="1"/>
        <v>0.499165275459098</v>
      </c>
    </row>
    <row r="61" spans="1:12">
      <c r="A61" s="10">
        <v>10069</v>
      </c>
      <c r="B61" s="20">
        <v>44701</v>
      </c>
      <c r="C61" t="s">
        <v>20</v>
      </c>
      <c r="D61" t="s">
        <v>18</v>
      </c>
      <c r="E61" t="s">
        <v>16</v>
      </c>
      <c r="F61" s="21">
        <v>599</v>
      </c>
      <c r="G61" s="21">
        <v>299</v>
      </c>
      <c r="H61" s="22">
        <v>300.3</v>
      </c>
      <c r="I61" s="24">
        <v>179879.7</v>
      </c>
      <c r="J61" s="24">
        <v>89789.7</v>
      </c>
      <c r="K61" s="18">
        <f t="shared" si="0"/>
        <v>90090</v>
      </c>
      <c r="L61" s="19">
        <f t="shared" si="1"/>
        <v>0.499165275459098</v>
      </c>
    </row>
    <row r="62" spans="1:12">
      <c r="A62" s="10">
        <v>10070</v>
      </c>
      <c r="B62" s="20">
        <v>44703</v>
      </c>
      <c r="C62" t="s">
        <v>12</v>
      </c>
      <c r="D62" t="s">
        <v>21</v>
      </c>
      <c r="E62" t="s">
        <v>16</v>
      </c>
      <c r="F62" s="23">
        <v>1099</v>
      </c>
      <c r="G62" s="23">
        <v>289</v>
      </c>
      <c r="H62" s="22">
        <v>129.4</v>
      </c>
      <c r="I62" s="24">
        <v>142210.6</v>
      </c>
      <c r="J62" s="24">
        <v>37396.6</v>
      </c>
      <c r="K62" s="18">
        <f t="shared" si="0"/>
        <v>104814</v>
      </c>
      <c r="L62" s="19">
        <f t="shared" si="1"/>
        <v>0.262966333030027</v>
      </c>
    </row>
    <row r="63" spans="1:12">
      <c r="A63" s="10">
        <v>10071</v>
      </c>
      <c r="B63" s="20">
        <v>44705</v>
      </c>
      <c r="C63" t="s">
        <v>12</v>
      </c>
      <c r="D63" t="s">
        <v>18</v>
      </c>
      <c r="E63" t="s">
        <v>16</v>
      </c>
      <c r="F63" s="23">
        <v>1099</v>
      </c>
      <c r="G63" s="23">
        <v>289</v>
      </c>
      <c r="H63" s="22">
        <v>341.7</v>
      </c>
      <c r="I63" s="24">
        <v>375528.3</v>
      </c>
      <c r="J63" s="24">
        <v>98751.3</v>
      </c>
      <c r="K63" s="18">
        <f t="shared" si="0"/>
        <v>276777</v>
      </c>
      <c r="L63" s="19">
        <f t="shared" si="1"/>
        <v>0.262966333030027</v>
      </c>
    </row>
    <row r="64" spans="1:12">
      <c r="A64" s="10">
        <v>10072</v>
      </c>
      <c r="B64" s="20">
        <v>44707</v>
      </c>
      <c r="C64" t="s">
        <v>20</v>
      </c>
      <c r="D64" t="s">
        <v>15</v>
      </c>
      <c r="E64" s="14" t="s">
        <v>14</v>
      </c>
      <c r="F64" s="21">
        <v>599</v>
      </c>
      <c r="G64" s="21">
        <v>299</v>
      </c>
      <c r="H64" s="22">
        <v>155.6</v>
      </c>
      <c r="I64" s="24">
        <v>93204.4</v>
      </c>
      <c r="J64" s="24">
        <v>46524.4</v>
      </c>
      <c r="K64" s="18">
        <f t="shared" si="0"/>
        <v>46680</v>
      </c>
      <c r="L64" s="19">
        <f t="shared" si="1"/>
        <v>0.499165275459099</v>
      </c>
    </row>
    <row r="65" spans="1:12">
      <c r="A65" s="10">
        <v>10073</v>
      </c>
      <c r="B65" s="20">
        <v>44709</v>
      </c>
      <c r="C65" t="s">
        <v>17</v>
      </c>
      <c r="D65" t="s">
        <v>18</v>
      </c>
      <c r="E65" s="14" t="s">
        <v>14</v>
      </c>
      <c r="F65" s="21">
        <v>1299</v>
      </c>
      <c r="G65" s="21">
        <v>459</v>
      </c>
      <c r="H65" s="22">
        <v>318.4</v>
      </c>
      <c r="I65" s="24">
        <v>413601.6</v>
      </c>
      <c r="J65" s="24">
        <v>146145.6</v>
      </c>
      <c r="K65" s="18">
        <f t="shared" si="0"/>
        <v>267456</v>
      </c>
      <c r="L65" s="19">
        <f t="shared" si="1"/>
        <v>0.353348729792148</v>
      </c>
    </row>
    <row r="66" spans="1:12">
      <c r="A66" s="10">
        <v>10074</v>
      </c>
      <c r="B66" s="20">
        <v>44711</v>
      </c>
      <c r="C66" t="s">
        <v>24</v>
      </c>
      <c r="D66" t="s">
        <v>21</v>
      </c>
      <c r="E66" s="14" t="s">
        <v>14</v>
      </c>
      <c r="F66" s="21">
        <v>199</v>
      </c>
      <c r="G66" s="21">
        <v>39</v>
      </c>
      <c r="H66" s="22">
        <v>307.6</v>
      </c>
      <c r="I66" s="24">
        <v>61212.4</v>
      </c>
      <c r="J66" s="24">
        <v>11996.4</v>
      </c>
      <c r="K66" s="18">
        <f t="shared" si="0"/>
        <v>49216</v>
      </c>
      <c r="L66" s="19">
        <f t="shared" si="1"/>
        <v>0.195979899497487</v>
      </c>
    </row>
    <row r="67" spans="1:12">
      <c r="A67" s="10">
        <v>10075</v>
      </c>
      <c r="B67" s="20">
        <v>44713</v>
      </c>
      <c r="C67" t="s">
        <v>17</v>
      </c>
      <c r="D67" t="s">
        <v>18</v>
      </c>
      <c r="E67" s="14" t="s">
        <v>14</v>
      </c>
      <c r="F67" s="21">
        <v>1299</v>
      </c>
      <c r="G67" s="21">
        <v>459</v>
      </c>
      <c r="H67" s="22">
        <v>187.3</v>
      </c>
      <c r="I67" s="24">
        <v>243302.7</v>
      </c>
      <c r="J67" s="24">
        <v>85970.7</v>
      </c>
      <c r="K67" s="18">
        <f t="shared" ref="K67:K130" si="2">I67-J67</f>
        <v>157332</v>
      </c>
      <c r="L67" s="19">
        <f t="shared" ref="L67:L130" si="3">J67/I67</f>
        <v>0.353348729792148</v>
      </c>
    </row>
    <row r="68" spans="1:12">
      <c r="A68" s="10">
        <v>10076</v>
      </c>
      <c r="B68" s="20">
        <v>44715</v>
      </c>
      <c r="C68" t="s">
        <v>24</v>
      </c>
      <c r="D68" t="s">
        <v>15</v>
      </c>
      <c r="E68" s="14" t="s">
        <v>14</v>
      </c>
      <c r="F68" s="21">
        <v>199</v>
      </c>
      <c r="G68" s="21">
        <v>39</v>
      </c>
      <c r="H68" s="22">
        <v>157.4</v>
      </c>
      <c r="I68" s="24">
        <v>31322.6</v>
      </c>
      <c r="J68" s="24">
        <v>6138.6</v>
      </c>
      <c r="K68" s="18">
        <f t="shared" si="2"/>
        <v>25184</v>
      </c>
      <c r="L68" s="19">
        <f t="shared" si="3"/>
        <v>0.195979899497487</v>
      </c>
    </row>
    <row r="69" spans="1:12">
      <c r="A69" s="10">
        <v>10077</v>
      </c>
      <c r="B69" s="20">
        <v>44717</v>
      </c>
      <c r="C69" t="s">
        <v>23</v>
      </c>
      <c r="D69" t="s">
        <v>18</v>
      </c>
      <c r="E69" s="14" t="s">
        <v>14</v>
      </c>
      <c r="F69" s="21">
        <v>449</v>
      </c>
      <c r="G69" s="21">
        <v>159</v>
      </c>
      <c r="H69" s="22">
        <v>219.3</v>
      </c>
      <c r="I69" s="24">
        <v>98465.7</v>
      </c>
      <c r="J69" s="24">
        <v>34868.7</v>
      </c>
      <c r="K69" s="18">
        <f t="shared" si="2"/>
        <v>63597</v>
      </c>
      <c r="L69" s="19">
        <f t="shared" si="3"/>
        <v>0.354120267260579</v>
      </c>
    </row>
    <row r="70" spans="1:12">
      <c r="A70" s="10">
        <v>10078</v>
      </c>
      <c r="B70" s="20">
        <v>44719</v>
      </c>
      <c r="C70" t="s">
        <v>24</v>
      </c>
      <c r="D70" t="s">
        <v>21</v>
      </c>
      <c r="E70" t="s">
        <v>19</v>
      </c>
      <c r="F70" s="21">
        <v>199</v>
      </c>
      <c r="G70" s="21">
        <v>39</v>
      </c>
      <c r="H70" s="22">
        <v>133</v>
      </c>
      <c r="I70" s="24">
        <v>26467</v>
      </c>
      <c r="J70" s="24">
        <v>5187</v>
      </c>
      <c r="K70" s="18">
        <f t="shared" si="2"/>
        <v>21280</v>
      </c>
      <c r="L70" s="19">
        <f t="shared" si="3"/>
        <v>0.195979899497487</v>
      </c>
    </row>
    <row r="71" spans="1:12">
      <c r="A71" s="10">
        <v>10079</v>
      </c>
      <c r="B71" s="20">
        <v>44721</v>
      </c>
      <c r="C71" t="s">
        <v>17</v>
      </c>
      <c r="D71" t="s">
        <v>21</v>
      </c>
      <c r="E71" t="s">
        <v>19</v>
      </c>
      <c r="F71" s="21">
        <v>1299</v>
      </c>
      <c r="G71" s="21">
        <v>459</v>
      </c>
      <c r="H71" s="22">
        <v>357.6</v>
      </c>
      <c r="I71" s="24">
        <v>464522.4</v>
      </c>
      <c r="J71" s="24">
        <v>164138.4</v>
      </c>
      <c r="K71" s="18">
        <f t="shared" si="2"/>
        <v>300384</v>
      </c>
      <c r="L71" s="19">
        <f t="shared" si="3"/>
        <v>0.353348729792148</v>
      </c>
    </row>
    <row r="72" spans="1:12">
      <c r="A72" s="10">
        <v>10080</v>
      </c>
      <c r="B72" s="20">
        <v>44723</v>
      </c>
      <c r="C72" t="s">
        <v>24</v>
      </c>
      <c r="D72" t="s">
        <v>13</v>
      </c>
      <c r="E72" s="14" t="s">
        <v>14</v>
      </c>
      <c r="F72" s="21">
        <v>199</v>
      </c>
      <c r="G72" s="21">
        <v>39</v>
      </c>
      <c r="H72" s="22">
        <v>400.6</v>
      </c>
      <c r="I72" s="24">
        <v>79719.4</v>
      </c>
      <c r="J72" s="24">
        <v>15623.4</v>
      </c>
      <c r="K72" s="18">
        <f t="shared" si="2"/>
        <v>64096</v>
      </c>
      <c r="L72" s="19">
        <f t="shared" si="3"/>
        <v>0.195979899497487</v>
      </c>
    </row>
    <row r="73" spans="1:12">
      <c r="A73" s="10">
        <v>10081</v>
      </c>
      <c r="B73" s="20">
        <v>44725</v>
      </c>
      <c r="C73" t="s">
        <v>24</v>
      </c>
      <c r="D73" t="s">
        <v>21</v>
      </c>
      <c r="E73" t="s">
        <v>16</v>
      </c>
      <c r="F73" s="21">
        <v>199</v>
      </c>
      <c r="G73" s="21">
        <v>39</v>
      </c>
      <c r="H73" s="22">
        <v>433.1</v>
      </c>
      <c r="I73" s="24">
        <v>86186.9</v>
      </c>
      <c r="J73" s="24">
        <v>16890.9</v>
      </c>
      <c r="K73" s="18">
        <f t="shared" si="2"/>
        <v>69296</v>
      </c>
      <c r="L73" s="19">
        <f t="shared" si="3"/>
        <v>0.195979899497487</v>
      </c>
    </row>
    <row r="74" spans="1:12">
      <c r="A74" s="10">
        <v>10082</v>
      </c>
      <c r="B74" s="20">
        <v>44727</v>
      </c>
      <c r="C74" t="s">
        <v>12</v>
      </c>
      <c r="D74" t="s">
        <v>15</v>
      </c>
      <c r="E74" t="s">
        <v>16</v>
      </c>
      <c r="F74" s="23">
        <v>1099</v>
      </c>
      <c r="G74" s="23">
        <v>289</v>
      </c>
      <c r="H74" s="22">
        <v>205.9</v>
      </c>
      <c r="I74" s="24">
        <v>226284.1</v>
      </c>
      <c r="J74" s="24">
        <v>59505.1</v>
      </c>
      <c r="K74" s="18">
        <f t="shared" si="2"/>
        <v>166779</v>
      </c>
      <c r="L74" s="19">
        <f t="shared" si="3"/>
        <v>0.262966333030027</v>
      </c>
    </row>
    <row r="75" spans="1:12">
      <c r="A75" s="10">
        <v>10083</v>
      </c>
      <c r="B75" s="20">
        <v>44729</v>
      </c>
      <c r="C75" t="s">
        <v>24</v>
      </c>
      <c r="D75" t="s">
        <v>15</v>
      </c>
      <c r="E75" t="s">
        <v>16</v>
      </c>
      <c r="F75" s="21">
        <v>199</v>
      </c>
      <c r="G75" s="21">
        <v>39</v>
      </c>
      <c r="H75" s="22">
        <v>436</v>
      </c>
      <c r="I75" s="24">
        <v>86764</v>
      </c>
      <c r="J75" s="24">
        <v>17004</v>
      </c>
      <c r="K75" s="18">
        <f t="shared" si="2"/>
        <v>69760</v>
      </c>
      <c r="L75" s="19">
        <f t="shared" si="3"/>
        <v>0.195979899497487</v>
      </c>
    </row>
    <row r="76" spans="1:12">
      <c r="A76" s="10">
        <v>10084</v>
      </c>
      <c r="B76" s="20">
        <v>44731</v>
      </c>
      <c r="C76" t="s">
        <v>20</v>
      </c>
      <c r="D76" t="s">
        <v>13</v>
      </c>
      <c r="E76" t="s">
        <v>16</v>
      </c>
      <c r="F76" s="21">
        <v>599</v>
      </c>
      <c r="G76" s="21">
        <v>299</v>
      </c>
      <c r="H76" s="22">
        <v>114.7</v>
      </c>
      <c r="I76" s="24">
        <v>68705.3</v>
      </c>
      <c r="J76" s="24">
        <v>34295.3</v>
      </c>
      <c r="K76" s="18">
        <f t="shared" si="2"/>
        <v>34410</v>
      </c>
      <c r="L76" s="19">
        <f t="shared" si="3"/>
        <v>0.499165275459099</v>
      </c>
    </row>
    <row r="77" spans="1:12">
      <c r="A77" s="10">
        <v>10085</v>
      </c>
      <c r="B77" s="20">
        <v>44733</v>
      </c>
      <c r="C77" t="s">
        <v>12</v>
      </c>
      <c r="D77" t="s">
        <v>13</v>
      </c>
      <c r="E77" t="s">
        <v>16</v>
      </c>
      <c r="F77" s="23">
        <v>1099</v>
      </c>
      <c r="G77" s="23">
        <v>289</v>
      </c>
      <c r="H77" s="22">
        <v>213.8</v>
      </c>
      <c r="I77" s="24">
        <v>234966.2</v>
      </c>
      <c r="J77" s="24">
        <v>61788.2</v>
      </c>
      <c r="K77" s="18">
        <f t="shared" si="2"/>
        <v>173178</v>
      </c>
      <c r="L77" s="19">
        <f t="shared" si="3"/>
        <v>0.262966333030027</v>
      </c>
    </row>
    <row r="78" spans="1:12">
      <c r="A78" s="10">
        <v>10086</v>
      </c>
      <c r="B78" s="20">
        <v>44735</v>
      </c>
      <c r="C78" t="s">
        <v>17</v>
      </c>
      <c r="D78" t="s">
        <v>13</v>
      </c>
      <c r="E78" t="s">
        <v>16</v>
      </c>
      <c r="F78" s="21">
        <v>1299</v>
      </c>
      <c r="G78" s="21">
        <v>459</v>
      </c>
      <c r="H78" s="22">
        <v>124</v>
      </c>
      <c r="I78" s="24">
        <v>161076</v>
      </c>
      <c r="J78" s="24">
        <v>56916</v>
      </c>
      <c r="K78" s="18">
        <f t="shared" si="2"/>
        <v>104160</v>
      </c>
      <c r="L78" s="19">
        <f t="shared" si="3"/>
        <v>0.353348729792148</v>
      </c>
    </row>
    <row r="79" spans="1:12">
      <c r="A79" s="10">
        <v>10087</v>
      </c>
      <c r="B79" s="20">
        <v>44737</v>
      </c>
      <c r="C79" t="s">
        <v>24</v>
      </c>
      <c r="D79" t="s">
        <v>15</v>
      </c>
      <c r="E79" t="s">
        <v>16</v>
      </c>
      <c r="F79" s="21">
        <v>199</v>
      </c>
      <c r="G79" s="21">
        <v>39</v>
      </c>
      <c r="H79" s="22">
        <v>285.1</v>
      </c>
      <c r="I79" s="24">
        <v>56734.9</v>
      </c>
      <c r="J79" s="24">
        <v>11118.9</v>
      </c>
      <c r="K79" s="18">
        <f t="shared" si="2"/>
        <v>45616</v>
      </c>
      <c r="L79" s="19">
        <f t="shared" si="3"/>
        <v>0.195979899497487</v>
      </c>
    </row>
    <row r="80" spans="1:12">
      <c r="A80" s="10">
        <v>10088</v>
      </c>
      <c r="B80" s="20">
        <v>44739</v>
      </c>
      <c r="C80" t="s">
        <v>24</v>
      </c>
      <c r="D80" t="s">
        <v>21</v>
      </c>
      <c r="E80" t="s">
        <v>16</v>
      </c>
      <c r="F80" s="21">
        <v>199</v>
      </c>
      <c r="G80" s="21">
        <v>39</v>
      </c>
      <c r="H80" s="22">
        <v>228.9</v>
      </c>
      <c r="I80" s="24">
        <v>45551.1</v>
      </c>
      <c r="J80" s="24">
        <v>8927.1</v>
      </c>
      <c r="K80" s="18">
        <f t="shared" si="2"/>
        <v>36624</v>
      </c>
      <c r="L80" s="19">
        <f t="shared" si="3"/>
        <v>0.195979899497487</v>
      </c>
    </row>
    <row r="81" spans="1:12">
      <c r="A81" s="10">
        <v>10089</v>
      </c>
      <c r="B81" s="20">
        <v>44741</v>
      </c>
      <c r="C81" t="s">
        <v>24</v>
      </c>
      <c r="D81" t="s">
        <v>15</v>
      </c>
      <c r="E81" t="s">
        <v>16</v>
      </c>
      <c r="F81" s="21">
        <v>199</v>
      </c>
      <c r="G81" s="21">
        <v>39</v>
      </c>
      <c r="H81" s="22">
        <v>361</v>
      </c>
      <c r="I81" s="24">
        <v>71839</v>
      </c>
      <c r="J81" s="24">
        <v>14079</v>
      </c>
      <c r="K81" s="18">
        <f t="shared" si="2"/>
        <v>57760</v>
      </c>
      <c r="L81" s="19">
        <f t="shared" si="3"/>
        <v>0.195979899497487</v>
      </c>
    </row>
    <row r="82" spans="1:12">
      <c r="A82" s="10">
        <v>10090</v>
      </c>
      <c r="B82" s="20">
        <v>44743</v>
      </c>
      <c r="C82" t="s">
        <v>12</v>
      </c>
      <c r="D82" t="s">
        <v>15</v>
      </c>
      <c r="E82" s="14" t="s">
        <v>14</v>
      </c>
      <c r="F82" s="23">
        <v>1099</v>
      </c>
      <c r="G82" s="23">
        <v>289</v>
      </c>
      <c r="H82" s="22">
        <v>425.7</v>
      </c>
      <c r="I82" s="24">
        <v>467844.3</v>
      </c>
      <c r="J82" s="24">
        <v>123027.3</v>
      </c>
      <c r="K82" s="18">
        <f t="shared" si="2"/>
        <v>344817</v>
      </c>
      <c r="L82" s="19">
        <f t="shared" si="3"/>
        <v>0.262966333030027</v>
      </c>
    </row>
    <row r="83" spans="1:12">
      <c r="A83" s="10">
        <v>10091</v>
      </c>
      <c r="B83" s="20">
        <v>44745</v>
      </c>
      <c r="C83" t="s">
        <v>24</v>
      </c>
      <c r="D83" t="s">
        <v>15</v>
      </c>
      <c r="E83" t="s">
        <v>16</v>
      </c>
      <c r="F83" s="21">
        <v>199</v>
      </c>
      <c r="G83" s="21">
        <v>39</v>
      </c>
      <c r="H83" s="22">
        <v>233.3</v>
      </c>
      <c r="I83" s="24">
        <v>46426.7</v>
      </c>
      <c r="J83" s="24">
        <v>9098.7</v>
      </c>
      <c r="K83" s="18">
        <f t="shared" si="2"/>
        <v>37328</v>
      </c>
      <c r="L83" s="19">
        <f t="shared" si="3"/>
        <v>0.195979899497487</v>
      </c>
    </row>
    <row r="84" spans="1:12">
      <c r="A84" s="10">
        <v>10092</v>
      </c>
      <c r="B84" s="20">
        <v>44747</v>
      </c>
      <c r="C84" t="s">
        <v>20</v>
      </c>
      <c r="D84" t="s">
        <v>21</v>
      </c>
      <c r="E84" s="14" t="s">
        <v>14</v>
      </c>
      <c r="F84" s="21">
        <v>599</v>
      </c>
      <c r="G84" s="21">
        <v>299</v>
      </c>
      <c r="H84" s="22">
        <v>381.2</v>
      </c>
      <c r="I84" s="24">
        <v>228338.8</v>
      </c>
      <c r="J84" s="24">
        <v>113978.8</v>
      </c>
      <c r="K84" s="18">
        <f t="shared" si="2"/>
        <v>114360</v>
      </c>
      <c r="L84" s="19">
        <f t="shared" si="3"/>
        <v>0.499165275459099</v>
      </c>
    </row>
    <row r="85" spans="1:12">
      <c r="A85" s="10">
        <v>10093</v>
      </c>
      <c r="B85" s="20">
        <v>44749</v>
      </c>
      <c r="C85" t="s">
        <v>17</v>
      </c>
      <c r="D85" s="14" t="s">
        <v>18</v>
      </c>
      <c r="E85" t="s">
        <v>16</v>
      </c>
      <c r="F85" s="21">
        <v>1299</v>
      </c>
      <c r="G85" s="21">
        <v>459</v>
      </c>
      <c r="H85" s="22">
        <v>415.3</v>
      </c>
      <c r="I85" s="24">
        <v>539474.7</v>
      </c>
      <c r="J85" s="24">
        <v>190622.7</v>
      </c>
      <c r="K85" s="18">
        <f t="shared" si="2"/>
        <v>348852</v>
      </c>
      <c r="L85" s="19">
        <f t="shared" si="3"/>
        <v>0.353348729792148</v>
      </c>
    </row>
    <row r="86" spans="1:12">
      <c r="A86" s="10">
        <v>10094</v>
      </c>
      <c r="B86" s="20">
        <v>44751</v>
      </c>
      <c r="C86" t="s">
        <v>12</v>
      </c>
      <c r="D86" s="14" t="s">
        <v>18</v>
      </c>
      <c r="E86" t="s">
        <v>19</v>
      </c>
      <c r="F86" s="23">
        <v>1099</v>
      </c>
      <c r="G86" s="23">
        <v>289</v>
      </c>
      <c r="H86" s="22">
        <v>250.4</v>
      </c>
      <c r="I86" s="24">
        <v>275189.6</v>
      </c>
      <c r="J86" s="24">
        <v>72365.6</v>
      </c>
      <c r="K86" s="18">
        <f t="shared" si="2"/>
        <v>202824</v>
      </c>
      <c r="L86" s="19">
        <f t="shared" si="3"/>
        <v>0.262966333030027</v>
      </c>
    </row>
    <row r="87" spans="1:12">
      <c r="A87" s="10">
        <v>10095</v>
      </c>
      <c r="B87" s="20">
        <v>44753</v>
      </c>
      <c r="C87" t="s">
        <v>23</v>
      </c>
      <c r="D87" s="14" t="s">
        <v>18</v>
      </c>
      <c r="E87" t="s">
        <v>22</v>
      </c>
      <c r="F87" s="21">
        <v>449</v>
      </c>
      <c r="G87" s="21">
        <v>159</v>
      </c>
      <c r="H87" s="22">
        <v>280.1</v>
      </c>
      <c r="I87" s="24">
        <v>125764.9</v>
      </c>
      <c r="J87" s="24">
        <v>44535.9</v>
      </c>
      <c r="K87" s="18">
        <f t="shared" si="2"/>
        <v>81229</v>
      </c>
      <c r="L87" s="19">
        <f t="shared" si="3"/>
        <v>0.354120267260579</v>
      </c>
    </row>
    <row r="88" spans="1:12">
      <c r="A88" s="10">
        <v>10096</v>
      </c>
      <c r="B88" s="20">
        <v>44755</v>
      </c>
      <c r="C88" t="s">
        <v>24</v>
      </c>
      <c r="D88" s="14" t="s">
        <v>18</v>
      </c>
      <c r="E88" t="s">
        <v>16</v>
      </c>
      <c r="F88" s="21">
        <v>199</v>
      </c>
      <c r="G88" s="21">
        <v>39</v>
      </c>
      <c r="H88" s="22">
        <v>214.9</v>
      </c>
      <c r="I88" s="24">
        <v>42765.1</v>
      </c>
      <c r="J88" s="24">
        <v>8381.1</v>
      </c>
      <c r="K88" s="18">
        <f t="shared" si="2"/>
        <v>34384</v>
      </c>
      <c r="L88" s="19">
        <f t="shared" si="3"/>
        <v>0.195979899497487</v>
      </c>
    </row>
    <row r="89" spans="1:12">
      <c r="A89" s="10">
        <v>10097</v>
      </c>
      <c r="B89" s="20">
        <v>44757</v>
      </c>
      <c r="C89" t="s">
        <v>20</v>
      </c>
      <c r="D89" s="14" t="s">
        <v>18</v>
      </c>
      <c r="E89" t="s">
        <v>16</v>
      </c>
      <c r="F89" s="21">
        <v>599</v>
      </c>
      <c r="G89" s="21">
        <v>299</v>
      </c>
      <c r="H89" s="22">
        <v>319.2</v>
      </c>
      <c r="I89" s="24">
        <v>191200.8</v>
      </c>
      <c r="J89" s="24">
        <v>95440.8</v>
      </c>
      <c r="K89" s="18">
        <f t="shared" si="2"/>
        <v>95760</v>
      </c>
      <c r="L89" s="19">
        <f t="shared" si="3"/>
        <v>0.499165275459099</v>
      </c>
    </row>
    <row r="90" spans="1:12">
      <c r="A90" s="10">
        <v>10098</v>
      </c>
      <c r="B90" s="20">
        <v>44759</v>
      </c>
      <c r="C90" t="s">
        <v>17</v>
      </c>
      <c r="D90" t="s">
        <v>15</v>
      </c>
      <c r="E90" t="s">
        <v>22</v>
      </c>
      <c r="F90" s="21">
        <v>1299</v>
      </c>
      <c r="G90" s="21">
        <v>459</v>
      </c>
      <c r="H90" s="22">
        <v>209.9</v>
      </c>
      <c r="I90" s="24">
        <v>272660.1</v>
      </c>
      <c r="J90" s="24">
        <v>96344.1</v>
      </c>
      <c r="K90" s="18">
        <f t="shared" si="2"/>
        <v>176316</v>
      </c>
      <c r="L90" s="19">
        <f t="shared" si="3"/>
        <v>0.353348729792148</v>
      </c>
    </row>
    <row r="91" spans="1:12">
      <c r="A91" s="10">
        <v>10099</v>
      </c>
      <c r="B91" s="20">
        <v>44761</v>
      </c>
      <c r="C91" t="s">
        <v>12</v>
      </c>
      <c r="D91" s="14" t="s">
        <v>13</v>
      </c>
      <c r="E91" t="s">
        <v>16</v>
      </c>
      <c r="F91" s="23">
        <v>1099</v>
      </c>
      <c r="G91" s="23">
        <v>289</v>
      </c>
      <c r="H91" s="22">
        <v>197.9</v>
      </c>
      <c r="I91" s="24">
        <v>217492.1</v>
      </c>
      <c r="J91" s="24">
        <v>57193.1</v>
      </c>
      <c r="K91" s="18">
        <f t="shared" si="2"/>
        <v>160299</v>
      </c>
      <c r="L91" s="19">
        <f t="shared" si="3"/>
        <v>0.262966333030027</v>
      </c>
    </row>
    <row r="92" spans="1:12">
      <c r="A92" s="10">
        <v>10100</v>
      </c>
      <c r="B92" s="20">
        <v>44763</v>
      </c>
      <c r="C92" t="s">
        <v>12</v>
      </c>
      <c r="D92" t="s">
        <v>13</v>
      </c>
      <c r="E92" t="s">
        <v>16</v>
      </c>
      <c r="F92" s="23">
        <v>1099</v>
      </c>
      <c r="G92" s="23">
        <v>289</v>
      </c>
      <c r="H92" s="22">
        <v>122.2</v>
      </c>
      <c r="I92" s="24">
        <v>134297.8</v>
      </c>
      <c r="J92" s="24">
        <v>35315.8</v>
      </c>
      <c r="K92" s="18">
        <f t="shared" si="2"/>
        <v>98982</v>
      </c>
      <c r="L92" s="19">
        <f t="shared" si="3"/>
        <v>0.262966333030027</v>
      </c>
    </row>
    <row r="93" spans="1:12">
      <c r="A93" s="10">
        <v>10101</v>
      </c>
      <c r="B93" s="20">
        <v>44765</v>
      </c>
      <c r="C93" t="s">
        <v>24</v>
      </c>
      <c r="D93" t="s">
        <v>15</v>
      </c>
      <c r="E93" t="s">
        <v>16</v>
      </c>
      <c r="F93" s="21">
        <v>199</v>
      </c>
      <c r="G93" s="21">
        <v>39</v>
      </c>
      <c r="H93" s="22">
        <v>379.3</v>
      </c>
      <c r="I93" s="24">
        <v>75480.7</v>
      </c>
      <c r="J93" s="24">
        <v>14792.7</v>
      </c>
      <c r="K93" s="18">
        <f t="shared" si="2"/>
        <v>60688</v>
      </c>
      <c r="L93" s="19">
        <f t="shared" si="3"/>
        <v>0.195979899497487</v>
      </c>
    </row>
    <row r="94" spans="1:12">
      <c r="A94" s="10">
        <v>10102</v>
      </c>
      <c r="B94" s="20">
        <v>44767</v>
      </c>
      <c r="C94" t="s">
        <v>23</v>
      </c>
      <c r="D94" t="s">
        <v>18</v>
      </c>
      <c r="E94" t="s">
        <v>22</v>
      </c>
      <c r="F94" s="21">
        <v>449</v>
      </c>
      <c r="G94" s="21">
        <v>159</v>
      </c>
      <c r="H94" s="22">
        <v>120.8</v>
      </c>
      <c r="I94" s="24">
        <v>54239.2</v>
      </c>
      <c r="J94" s="24">
        <v>19207.2</v>
      </c>
      <c r="K94" s="18">
        <f t="shared" si="2"/>
        <v>35032</v>
      </c>
      <c r="L94" s="19">
        <f t="shared" si="3"/>
        <v>0.354120267260579</v>
      </c>
    </row>
    <row r="95" spans="1:12">
      <c r="A95" s="10">
        <v>10103</v>
      </c>
      <c r="B95" s="20">
        <v>44769</v>
      </c>
      <c r="C95" t="s">
        <v>23</v>
      </c>
      <c r="D95" t="s">
        <v>21</v>
      </c>
      <c r="E95" t="s">
        <v>16</v>
      </c>
      <c r="F95" s="21">
        <v>449</v>
      </c>
      <c r="G95" s="21">
        <v>159</v>
      </c>
      <c r="H95" s="22">
        <v>454.3</v>
      </c>
      <c r="I95" s="24">
        <v>203980.7</v>
      </c>
      <c r="J95" s="24">
        <v>72233.7</v>
      </c>
      <c r="K95" s="18">
        <f t="shared" si="2"/>
        <v>131747</v>
      </c>
      <c r="L95" s="19">
        <f t="shared" si="3"/>
        <v>0.354120267260579</v>
      </c>
    </row>
    <row r="96" spans="1:12">
      <c r="A96" s="10">
        <v>10104</v>
      </c>
      <c r="B96" s="20">
        <v>44771</v>
      </c>
      <c r="C96" t="s">
        <v>12</v>
      </c>
      <c r="D96" t="s">
        <v>21</v>
      </c>
      <c r="E96" t="s">
        <v>22</v>
      </c>
      <c r="F96" s="21">
        <v>199</v>
      </c>
      <c r="G96" s="21">
        <v>39</v>
      </c>
      <c r="H96" s="22">
        <v>245.8</v>
      </c>
      <c r="I96" s="24">
        <v>48914.2</v>
      </c>
      <c r="J96" s="24">
        <v>9586.2</v>
      </c>
      <c r="K96" s="18">
        <f t="shared" si="2"/>
        <v>39328</v>
      </c>
      <c r="L96" s="19">
        <f t="shared" si="3"/>
        <v>0.195979899497487</v>
      </c>
    </row>
    <row r="97" spans="1:12">
      <c r="A97" s="10">
        <v>10105</v>
      </c>
      <c r="B97" s="20">
        <v>44773</v>
      </c>
      <c r="C97" t="s">
        <v>12</v>
      </c>
      <c r="D97" t="s">
        <v>21</v>
      </c>
      <c r="E97" t="s">
        <v>22</v>
      </c>
      <c r="F97" s="21">
        <v>199</v>
      </c>
      <c r="G97" s="21">
        <v>39</v>
      </c>
      <c r="H97" s="22">
        <v>315.1</v>
      </c>
      <c r="I97" s="24">
        <v>62704.9</v>
      </c>
      <c r="J97" s="24">
        <v>12288.9</v>
      </c>
      <c r="K97" s="18">
        <f t="shared" si="2"/>
        <v>50416</v>
      </c>
      <c r="L97" s="19">
        <f t="shared" si="3"/>
        <v>0.195979899497487</v>
      </c>
    </row>
    <row r="98" spans="1:12">
      <c r="A98" s="10">
        <v>10106</v>
      </c>
      <c r="B98" s="20">
        <v>44775</v>
      </c>
      <c r="C98" t="s">
        <v>17</v>
      </c>
      <c r="D98" t="s">
        <v>21</v>
      </c>
      <c r="E98" t="s">
        <v>22</v>
      </c>
      <c r="F98" s="23">
        <v>1099</v>
      </c>
      <c r="G98" s="23">
        <v>289</v>
      </c>
      <c r="H98" s="22">
        <v>142.4</v>
      </c>
      <c r="I98" s="24">
        <v>156497.6</v>
      </c>
      <c r="J98" s="24">
        <v>41153.6</v>
      </c>
      <c r="K98" s="18">
        <f t="shared" si="2"/>
        <v>115344</v>
      </c>
      <c r="L98" s="19">
        <f t="shared" si="3"/>
        <v>0.262966333030027</v>
      </c>
    </row>
    <row r="99" spans="1:12">
      <c r="A99" s="10">
        <v>10107</v>
      </c>
      <c r="B99" s="20">
        <v>44777</v>
      </c>
      <c r="C99" t="s">
        <v>20</v>
      </c>
      <c r="D99" t="s">
        <v>13</v>
      </c>
      <c r="E99" s="14" t="s">
        <v>19</v>
      </c>
      <c r="F99" s="21">
        <v>449</v>
      </c>
      <c r="G99" s="21">
        <v>159</v>
      </c>
      <c r="H99" s="22">
        <v>311</v>
      </c>
      <c r="I99" s="24">
        <v>139639</v>
      </c>
      <c r="J99" s="24">
        <v>49449</v>
      </c>
      <c r="K99" s="18">
        <f t="shared" si="2"/>
        <v>90190</v>
      </c>
      <c r="L99" s="19">
        <f t="shared" si="3"/>
        <v>0.354120267260579</v>
      </c>
    </row>
    <row r="100" spans="1:12">
      <c r="A100" s="10">
        <v>10108</v>
      </c>
      <c r="B100" s="20">
        <v>44777</v>
      </c>
      <c r="C100" t="s">
        <v>23</v>
      </c>
      <c r="D100" t="s">
        <v>15</v>
      </c>
      <c r="E100" s="14" t="s">
        <v>19</v>
      </c>
      <c r="F100" s="21">
        <v>599</v>
      </c>
      <c r="G100" s="21">
        <v>299</v>
      </c>
      <c r="H100" s="22">
        <v>378.2</v>
      </c>
      <c r="I100" s="24">
        <v>226541.8</v>
      </c>
      <c r="J100" s="24">
        <v>113081.8</v>
      </c>
      <c r="K100" s="18">
        <f t="shared" si="2"/>
        <v>113460</v>
      </c>
      <c r="L100" s="19">
        <f t="shared" si="3"/>
        <v>0.499165275459099</v>
      </c>
    </row>
    <row r="101" spans="1:12">
      <c r="A101" s="10">
        <v>10109</v>
      </c>
      <c r="B101" s="20">
        <v>44777</v>
      </c>
      <c r="C101" t="s">
        <v>24</v>
      </c>
      <c r="D101" t="s">
        <v>18</v>
      </c>
      <c r="E101" t="s">
        <v>22</v>
      </c>
      <c r="F101" s="21">
        <v>449</v>
      </c>
      <c r="G101" s="21">
        <v>159</v>
      </c>
      <c r="H101" s="22">
        <v>291.9</v>
      </c>
      <c r="I101" s="24">
        <v>131063.1</v>
      </c>
      <c r="J101" s="24">
        <v>46412.1</v>
      </c>
      <c r="K101" s="18">
        <f t="shared" si="2"/>
        <v>84651</v>
      </c>
      <c r="L101" s="19">
        <f t="shared" si="3"/>
        <v>0.354120267260579</v>
      </c>
    </row>
    <row r="102" spans="1:12">
      <c r="A102" s="10">
        <v>10110</v>
      </c>
      <c r="B102" s="20">
        <v>44777</v>
      </c>
      <c r="C102" t="s">
        <v>24</v>
      </c>
      <c r="D102" t="s">
        <v>18</v>
      </c>
      <c r="E102" t="s">
        <v>14</v>
      </c>
      <c r="F102" s="23">
        <v>1099</v>
      </c>
      <c r="G102" s="23">
        <v>289</v>
      </c>
      <c r="H102" s="22">
        <v>479.3</v>
      </c>
      <c r="I102" s="24">
        <v>526750.7</v>
      </c>
      <c r="J102" s="24">
        <v>138517.7</v>
      </c>
      <c r="K102" s="18">
        <f t="shared" si="2"/>
        <v>388233</v>
      </c>
      <c r="L102" s="19">
        <f t="shared" si="3"/>
        <v>0.262966333030027</v>
      </c>
    </row>
    <row r="103" spans="1:12">
      <c r="A103" s="10">
        <v>10111</v>
      </c>
      <c r="B103" s="20">
        <v>44777</v>
      </c>
      <c r="C103" t="s">
        <v>24</v>
      </c>
      <c r="D103" t="s">
        <v>18</v>
      </c>
      <c r="E103" t="s">
        <v>16</v>
      </c>
      <c r="F103" s="21">
        <v>449</v>
      </c>
      <c r="G103" s="21">
        <v>159</v>
      </c>
      <c r="H103" s="22">
        <v>115.1</v>
      </c>
      <c r="I103" s="24">
        <v>51679.9</v>
      </c>
      <c r="J103" s="24">
        <v>18300.9</v>
      </c>
      <c r="K103" s="18">
        <f t="shared" si="2"/>
        <v>33379</v>
      </c>
      <c r="L103" s="19">
        <f t="shared" si="3"/>
        <v>0.354120267260579</v>
      </c>
    </row>
    <row r="104" spans="1:12">
      <c r="A104" s="10">
        <v>10112</v>
      </c>
      <c r="B104" s="20">
        <v>44777</v>
      </c>
      <c r="C104" t="s">
        <v>12</v>
      </c>
      <c r="D104" t="s">
        <v>13</v>
      </c>
      <c r="E104" t="s">
        <v>19</v>
      </c>
      <c r="F104" s="23">
        <v>1099</v>
      </c>
      <c r="G104" s="23">
        <v>289</v>
      </c>
      <c r="H104" s="22">
        <v>347.8</v>
      </c>
      <c r="I104" s="24">
        <v>382232.2</v>
      </c>
      <c r="J104" s="24">
        <v>100514.2</v>
      </c>
      <c r="K104" s="18">
        <f t="shared" si="2"/>
        <v>281718</v>
      </c>
      <c r="L104" s="19">
        <f t="shared" si="3"/>
        <v>0.262966333030027</v>
      </c>
    </row>
    <row r="105" spans="1:12">
      <c r="A105" s="10">
        <v>10113</v>
      </c>
      <c r="B105" s="20">
        <v>44777</v>
      </c>
      <c r="C105" t="s">
        <v>17</v>
      </c>
      <c r="D105" t="s">
        <v>15</v>
      </c>
      <c r="E105" t="s">
        <v>22</v>
      </c>
      <c r="F105" s="21">
        <v>1299</v>
      </c>
      <c r="G105" s="21">
        <v>459</v>
      </c>
      <c r="H105" s="22">
        <v>222.4</v>
      </c>
      <c r="I105" s="24">
        <v>288897.6</v>
      </c>
      <c r="J105" s="24">
        <v>102081.6</v>
      </c>
      <c r="K105" s="18">
        <f t="shared" si="2"/>
        <v>186816</v>
      </c>
      <c r="L105" s="19">
        <f t="shared" si="3"/>
        <v>0.353348729792148</v>
      </c>
    </row>
    <row r="106" spans="1:12">
      <c r="A106" s="10">
        <v>10114</v>
      </c>
      <c r="B106" s="20">
        <v>44777</v>
      </c>
      <c r="C106" t="s">
        <v>17</v>
      </c>
      <c r="D106" t="s">
        <v>18</v>
      </c>
      <c r="E106" t="s">
        <v>19</v>
      </c>
      <c r="F106" s="23">
        <v>1099</v>
      </c>
      <c r="G106" s="23">
        <v>289</v>
      </c>
      <c r="H106" s="22">
        <v>276.5</v>
      </c>
      <c r="I106" s="24">
        <v>303873.5</v>
      </c>
      <c r="J106" s="24">
        <v>79908.5</v>
      </c>
      <c r="K106" s="18">
        <f t="shared" si="2"/>
        <v>223965</v>
      </c>
      <c r="L106" s="19">
        <f t="shared" si="3"/>
        <v>0.262966333030027</v>
      </c>
    </row>
    <row r="107" spans="1:12">
      <c r="A107" s="10">
        <v>10115</v>
      </c>
      <c r="B107" s="20">
        <v>44777</v>
      </c>
      <c r="C107" t="s">
        <v>24</v>
      </c>
      <c r="D107" t="s">
        <v>18</v>
      </c>
      <c r="E107" t="s">
        <v>19</v>
      </c>
      <c r="F107" s="23">
        <v>1099</v>
      </c>
      <c r="G107" s="23">
        <v>289</v>
      </c>
      <c r="H107" s="22">
        <v>151.2</v>
      </c>
      <c r="I107" s="24">
        <v>166168.8</v>
      </c>
      <c r="J107" s="24">
        <v>43696.8</v>
      </c>
      <c r="K107" s="18">
        <f t="shared" si="2"/>
        <v>122472</v>
      </c>
      <c r="L107" s="19">
        <f t="shared" si="3"/>
        <v>0.262966333030027</v>
      </c>
    </row>
    <row r="108" spans="1:12">
      <c r="A108" s="10">
        <v>10116</v>
      </c>
      <c r="B108" s="20">
        <v>44777</v>
      </c>
      <c r="C108" t="s">
        <v>12</v>
      </c>
      <c r="D108" t="s">
        <v>18</v>
      </c>
      <c r="E108" t="s">
        <v>14</v>
      </c>
      <c r="F108" s="21">
        <v>199</v>
      </c>
      <c r="G108" s="21">
        <v>39</v>
      </c>
      <c r="H108" s="22">
        <v>171.6</v>
      </c>
      <c r="I108" s="24">
        <v>34148.4</v>
      </c>
      <c r="J108" s="24">
        <v>6692.4</v>
      </c>
      <c r="K108" s="18">
        <f t="shared" si="2"/>
        <v>27456</v>
      </c>
      <c r="L108" s="19">
        <f t="shared" si="3"/>
        <v>0.195979899497487</v>
      </c>
    </row>
    <row r="109" spans="1:12">
      <c r="A109" s="10">
        <v>10117</v>
      </c>
      <c r="B109" s="20">
        <v>44777</v>
      </c>
      <c r="C109" t="s">
        <v>23</v>
      </c>
      <c r="D109" t="s">
        <v>13</v>
      </c>
      <c r="E109" t="s">
        <v>19</v>
      </c>
      <c r="F109" s="21">
        <v>599</v>
      </c>
      <c r="G109" s="21">
        <v>299</v>
      </c>
      <c r="H109" s="22">
        <v>365.4</v>
      </c>
      <c r="I109" s="24">
        <v>218874.6</v>
      </c>
      <c r="J109" s="24">
        <v>109254.6</v>
      </c>
      <c r="K109" s="18">
        <f t="shared" si="2"/>
        <v>109620</v>
      </c>
      <c r="L109" s="19">
        <f t="shared" si="3"/>
        <v>0.499165275459098</v>
      </c>
    </row>
    <row r="110" spans="1:12">
      <c r="A110" s="10">
        <v>10118</v>
      </c>
      <c r="B110" s="20">
        <v>44777</v>
      </c>
      <c r="C110" t="s">
        <v>20</v>
      </c>
      <c r="D110" t="s">
        <v>18</v>
      </c>
      <c r="E110" t="s">
        <v>19</v>
      </c>
      <c r="F110" s="21">
        <v>1299</v>
      </c>
      <c r="G110" s="21">
        <v>459</v>
      </c>
      <c r="H110" s="22">
        <v>156.1</v>
      </c>
      <c r="I110" s="24">
        <v>202773.9</v>
      </c>
      <c r="J110" s="24">
        <v>71649.9</v>
      </c>
      <c r="K110" s="18">
        <f t="shared" si="2"/>
        <v>131124</v>
      </c>
      <c r="L110" s="19">
        <f t="shared" si="3"/>
        <v>0.353348729792148</v>
      </c>
    </row>
    <row r="111" spans="1:12">
      <c r="A111" s="10">
        <v>10119</v>
      </c>
      <c r="B111" s="20">
        <v>44777</v>
      </c>
      <c r="C111" t="s">
        <v>23</v>
      </c>
      <c r="D111" t="s">
        <v>18</v>
      </c>
      <c r="E111" s="14" t="s">
        <v>14</v>
      </c>
      <c r="F111" s="21">
        <v>1299</v>
      </c>
      <c r="G111" s="21">
        <v>459</v>
      </c>
      <c r="H111" s="22">
        <v>208.3</v>
      </c>
      <c r="I111" s="24">
        <v>270581.7</v>
      </c>
      <c r="J111" s="24">
        <v>95609.7</v>
      </c>
      <c r="K111" s="18">
        <f t="shared" si="2"/>
        <v>174972</v>
      </c>
      <c r="L111" s="19">
        <f t="shared" si="3"/>
        <v>0.353348729792148</v>
      </c>
    </row>
    <row r="112" spans="1:12">
      <c r="A112" s="10">
        <v>10120</v>
      </c>
      <c r="B112" s="20">
        <v>44779</v>
      </c>
      <c r="C112" t="s">
        <v>12</v>
      </c>
      <c r="D112" t="s">
        <v>18</v>
      </c>
      <c r="E112" s="14" t="s">
        <v>14</v>
      </c>
      <c r="F112" s="21">
        <v>1299</v>
      </c>
      <c r="G112" s="21">
        <v>459</v>
      </c>
      <c r="H112" s="22">
        <v>267.3</v>
      </c>
      <c r="I112" s="24">
        <v>347222.7</v>
      </c>
      <c r="J112" s="24">
        <v>122690.7</v>
      </c>
      <c r="K112" s="18">
        <f t="shared" si="2"/>
        <v>224532</v>
      </c>
      <c r="L112" s="19">
        <f t="shared" si="3"/>
        <v>0.353348729792148</v>
      </c>
    </row>
    <row r="113" spans="1:12">
      <c r="A113" s="10">
        <v>10121</v>
      </c>
      <c r="B113" s="20">
        <v>44781</v>
      </c>
      <c r="C113" t="s">
        <v>23</v>
      </c>
      <c r="D113" t="s">
        <v>13</v>
      </c>
      <c r="E113" s="14" t="s">
        <v>14</v>
      </c>
      <c r="F113" s="21">
        <v>599</v>
      </c>
      <c r="G113" s="21">
        <v>299</v>
      </c>
      <c r="H113" s="22">
        <v>338.5</v>
      </c>
      <c r="I113" s="24">
        <v>202761.5</v>
      </c>
      <c r="J113" s="24">
        <v>101211.5</v>
      </c>
      <c r="K113" s="18">
        <f t="shared" si="2"/>
        <v>101550</v>
      </c>
      <c r="L113" s="19">
        <f t="shared" si="3"/>
        <v>0.499165275459099</v>
      </c>
    </row>
    <row r="114" spans="1:12">
      <c r="A114" s="10">
        <v>10122</v>
      </c>
      <c r="B114" s="20">
        <v>44783</v>
      </c>
      <c r="C114" t="s">
        <v>12</v>
      </c>
      <c r="D114" t="s">
        <v>13</v>
      </c>
      <c r="E114" s="14" t="s">
        <v>14</v>
      </c>
      <c r="F114" s="23">
        <v>1099</v>
      </c>
      <c r="G114" s="23">
        <v>289</v>
      </c>
      <c r="H114" s="22">
        <v>321.8</v>
      </c>
      <c r="I114" s="24">
        <v>353658.2</v>
      </c>
      <c r="J114" s="24">
        <v>93000.2</v>
      </c>
      <c r="K114" s="18">
        <f t="shared" si="2"/>
        <v>260658</v>
      </c>
      <c r="L114" s="19">
        <f t="shared" si="3"/>
        <v>0.262966333030027</v>
      </c>
    </row>
    <row r="115" spans="1:12">
      <c r="A115" s="10">
        <v>10123</v>
      </c>
      <c r="B115" s="20">
        <v>44785</v>
      </c>
      <c r="C115" t="s">
        <v>17</v>
      </c>
      <c r="D115" t="s">
        <v>15</v>
      </c>
      <c r="E115" s="14" t="s">
        <v>14</v>
      </c>
      <c r="F115" s="21">
        <v>199</v>
      </c>
      <c r="G115" s="21">
        <v>39</v>
      </c>
      <c r="H115" s="22">
        <v>368.7</v>
      </c>
      <c r="I115" s="24">
        <v>73371.3</v>
      </c>
      <c r="J115" s="24">
        <v>14379.3</v>
      </c>
      <c r="K115" s="18">
        <f t="shared" si="2"/>
        <v>58992</v>
      </c>
      <c r="L115" s="19">
        <f t="shared" si="3"/>
        <v>0.195979899497487</v>
      </c>
    </row>
    <row r="116" spans="1:12">
      <c r="A116" s="10">
        <v>10124</v>
      </c>
      <c r="B116" s="20">
        <v>44787</v>
      </c>
      <c r="C116" t="s">
        <v>12</v>
      </c>
      <c r="D116" t="s">
        <v>15</v>
      </c>
      <c r="E116" s="14" t="s">
        <v>14</v>
      </c>
      <c r="F116" s="21">
        <v>1299</v>
      </c>
      <c r="G116" s="21">
        <v>459</v>
      </c>
      <c r="H116" s="22">
        <v>126.9</v>
      </c>
      <c r="I116" s="24">
        <v>164843.1</v>
      </c>
      <c r="J116" s="24">
        <v>58247.1</v>
      </c>
      <c r="K116" s="18">
        <f t="shared" si="2"/>
        <v>106596</v>
      </c>
      <c r="L116" s="19">
        <f t="shared" si="3"/>
        <v>0.353348729792148</v>
      </c>
    </row>
    <row r="117" spans="1:12">
      <c r="A117" s="10">
        <v>10125</v>
      </c>
      <c r="B117" s="20">
        <v>44789</v>
      </c>
      <c r="C117" t="s">
        <v>12</v>
      </c>
      <c r="D117" t="s">
        <v>13</v>
      </c>
      <c r="E117" t="s">
        <v>22</v>
      </c>
      <c r="F117" s="21">
        <v>599</v>
      </c>
      <c r="G117" s="21">
        <v>299</v>
      </c>
      <c r="H117" s="22">
        <v>390</v>
      </c>
      <c r="I117" s="24">
        <v>233610</v>
      </c>
      <c r="J117" s="24">
        <v>116610</v>
      </c>
      <c r="K117" s="18">
        <f t="shared" si="2"/>
        <v>117000</v>
      </c>
      <c r="L117" s="19">
        <f t="shared" si="3"/>
        <v>0.499165275459099</v>
      </c>
    </row>
    <row r="118" spans="1:12">
      <c r="A118" s="10">
        <v>10126</v>
      </c>
      <c r="B118" s="20">
        <v>44791</v>
      </c>
      <c r="C118" t="s">
        <v>24</v>
      </c>
      <c r="D118" t="s">
        <v>15</v>
      </c>
      <c r="E118" t="s">
        <v>22</v>
      </c>
      <c r="F118" s="21">
        <v>1299</v>
      </c>
      <c r="G118" s="21">
        <v>459</v>
      </c>
      <c r="H118" s="22">
        <v>388.3</v>
      </c>
      <c r="I118" s="24">
        <v>504401.7</v>
      </c>
      <c r="J118" s="24">
        <v>178229.7</v>
      </c>
      <c r="K118" s="18">
        <f t="shared" si="2"/>
        <v>326172</v>
      </c>
      <c r="L118" s="19">
        <f t="shared" si="3"/>
        <v>0.353348729792148</v>
      </c>
    </row>
    <row r="119" spans="1:12">
      <c r="A119" s="10">
        <v>10127</v>
      </c>
      <c r="B119" s="20">
        <v>44793</v>
      </c>
      <c r="C119" t="s">
        <v>20</v>
      </c>
      <c r="D119" t="s">
        <v>15</v>
      </c>
      <c r="E119" t="s">
        <v>16</v>
      </c>
      <c r="F119" s="21">
        <v>1299</v>
      </c>
      <c r="G119" s="21">
        <v>459</v>
      </c>
      <c r="H119" s="22">
        <v>112</v>
      </c>
      <c r="I119" s="24">
        <v>145488</v>
      </c>
      <c r="J119" s="24">
        <v>51408</v>
      </c>
      <c r="K119" s="18">
        <f t="shared" si="2"/>
        <v>94080</v>
      </c>
      <c r="L119" s="19">
        <f t="shared" si="3"/>
        <v>0.353348729792148</v>
      </c>
    </row>
    <row r="120" spans="1:12">
      <c r="A120" s="10">
        <v>10128</v>
      </c>
      <c r="B120" s="20">
        <v>44795</v>
      </c>
      <c r="C120" t="s">
        <v>17</v>
      </c>
      <c r="D120" t="s">
        <v>18</v>
      </c>
      <c r="E120" t="s">
        <v>22</v>
      </c>
      <c r="F120" s="21">
        <v>199</v>
      </c>
      <c r="G120" s="21">
        <v>39</v>
      </c>
      <c r="H120" s="22">
        <v>331.7</v>
      </c>
      <c r="I120" s="24">
        <v>66008.3</v>
      </c>
      <c r="J120" s="24">
        <v>12936.3</v>
      </c>
      <c r="K120" s="18">
        <f t="shared" si="2"/>
        <v>53072</v>
      </c>
      <c r="L120" s="19">
        <f t="shared" si="3"/>
        <v>0.195979899497487</v>
      </c>
    </row>
    <row r="121" spans="1:12">
      <c r="A121" s="10">
        <v>10129</v>
      </c>
      <c r="B121" s="20">
        <v>44797</v>
      </c>
      <c r="C121" t="s">
        <v>17</v>
      </c>
      <c r="D121" t="s">
        <v>15</v>
      </c>
      <c r="E121" t="s">
        <v>22</v>
      </c>
      <c r="F121" s="21">
        <v>199</v>
      </c>
      <c r="G121" s="21">
        <v>39</v>
      </c>
      <c r="H121" s="22">
        <v>171</v>
      </c>
      <c r="I121" s="24">
        <v>34029</v>
      </c>
      <c r="J121" s="24">
        <v>6669</v>
      </c>
      <c r="K121" s="18">
        <f t="shared" si="2"/>
        <v>27360</v>
      </c>
      <c r="L121" s="19">
        <f t="shared" si="3"/>
        <v>0.195979899497487</v>
      </c>
    </row>
    <row r="122" spans="1:12">
      <c r="A122" s="10">
        <v>10130</v>
      </c>
      <c r="B122" s="20">
        <v>44799</v>
      </c>
      <c r="C122" t="s">
        <v>17</v>
      </c>
      <c r="D122" t="s">
        <v>13</v>
      </c>
      <c r="E122" t="s">
        <v>19</v>
      </c>
      <c r="F122" s="21">
        <v>1299</v>
      </c>
      <c r="G122" s="21">
        <v>459</v>
      </c>
      <c r="H122" s="22">
        <v>167.2</v>
      </c>
      <c r="I122" s="24">
        <v>217192.8</v>
      </c>
      <c r="J122" s="24">
        <v>76744.8</v>
      </c>
      <c r="K122" s="18">
        <f t="shared" si="2"/>
        <v>140448</v>
      </c>
      <c r="L122" s="19">
        <f t="shared" si="3"/>
        <v>0.353348729792148</v>
      </c>
    </row>
    <row r="123" spans="1:12">
      <c r="A123" s="10">
        <v>10131</v>
      </c>
      <c r="B123" s="20">
        <v>44801</v>
      </c>
      <c r="C123" t="s">
        <v>20</v>
      </c>
      <c r="D123" t="s">
        <v>21</v>
      </c>
      <c r="E123" t="s">
        <v>19</v>
      </c>
      <c r="F123" s="21">
        <v>199</v>
      </c>
      <c r="G123" s="21">
        <v>39</v>
      </c>
      <c r="H123" s="22">
        <v>357.8</v>
      </c>
      <c r="I123" s="24">
        <v>71202.2</v>
      </c>
      <c r="J123" s="24">
        <v>13954.2</v>
      </c>
      <c r="K123" s="18">
        <f t="shared" si="2"/>
        <v>57248</v>
      </c>
      <c r="L123" s="19">
        <f t="shared" si="3"/>
        <v>0.195979899497487</v>
      </c>
    </row>
    <row r="124" spans="1:12">
      <c r="A124" s="10">
        <v>10132</v>
      </c>
      <c r="B124" s="20">
        <v>44803</v>
      </c>
      <c r="C124" t="s">
        <v>12</v>
      </c>
      <c r="D124" t="s">
        <v>21</v>
      </c>
      <c r="E124" t="s">
        <v>19</v>
      </c>
      <c r="F124" s="21">
        <v>449</v>
      </c>
      <c r="G124" s="21">
        <v>159</v>
      </c>
      <c r="H124" s="22">
        <v>396.2</v>
      </c>
      <c r="I124" s="24">
        <v>177893.8</v>
      </c>
      <c r="J124" s="24">
        <v>62995.8</v>
      </c>
      <c r="K124" s="18">
        <f t="shared" si="2"/>
        <v>114898</v>
      </c>
      <c r="L124" s="19">
        <f t="shared" si="3"/>
        <v>0.354120267260579</v>
      </c>
    </row>
    <row r="125" spans="1:12">
      <c r="A125" s="10">
        <v>10133</v>
      </c>
      <c r="B125" s="20">
        <v>44805</v>
      </c>
      <c r="C125" t="s">
        <v>24</v>
      </c>
      <c r="D125" t="s">
        <v>21</v>
      </c>
      <c r="E125" t="s">
        <v>19</v>
      </c>
      <c r="F125" s="21">
        <v>449</v>
      </c>
      <c r="G125" s="21">
        <v>159</v>
      </c>
      <c r="H125" s="22">
        <v>314.2</v>
      </c>
      <c r="I125" s="24">
        <v>141075.8</v>
      </c>
      <c r="J125" s="24">
        <v>49957.8</v>
      </c>
      <c r="K125" s="18">
        <f t="shared" si="2"/>
        <v>91118</v>
      </c>
      <c r="L125" s="19">
        <f t="shared" si="3"/>
        <v>0.354120267260579</v>
      </c>
    </row>
    <row r="126" spans="1:12">
      <c r="A126" s="10">
        <v>10134</v>
      </c>
      <c r="B126" s="20">
        <v>44807</v>
      </c>
      <c r="C126" t="s">
        <v>17</v>
      </c>
      <c r="D126" t="s">
        <v>21</v>
      </c>
      <c r="E126" s="14" t="s">
        <v>14</v>
      </c>
      <c r="F126" s="21">
        <v>599</v>
      </c>
      <c r="G126" s="21">
        <v>299</v>
      </c>
      <c r="H126" s="22">
        <v>497.7</v>
      </c>
      <c r="I126" s="24">
        <v>298122.3</v>
      </c>
      <c r="J126" s="24">
        <v>148812.3</v>
      </c>
      <c r="K126" s="18">
        <f t="shared" si="2"/>
        <v>149310</v>
      </c>
      <c r="L126" s="19">
        <f t="shared" si="3"/>
        <v>0.499165275459099</v>
      </c>
    </row>
    <row r="127" spans="1:12">
      <c r="A127" s="10">
        <v>10135</v>
      </c>
      <c r="B127" s="20">
        <v>44809</v>
      </c>
      <c r="C127" t="s">
        <v>20</v>
      </c>
      <c r="D127" t="s">
        <v>15</v>
      </c>
      <c r="E127" t="s">
        <v>19</v>
      </c>
      <c r="F127" s="21">
        <v>599</v>
      </c>
      <c r="G127" s="21">
        <v>299</v>
      </c>
      <c r="H127" s="22">
        <v>125.4</v>
      </c>
      <c r="I127" s="24">
        <v>75114.6</v>
      </c>
      <c r="J127" s="24">
        <v>37494.6</v>
      </c>
      <c r="K127" s="18">
        <f t="shared" si="2"/>
        <v>37620</v>
      </c>
      <c r="L127" s="19">
        <f t="shared" si="3"/>
        <v>0.499165275459098</v>
      </c>
    </row>
    <row r="128" spans="1:12">
      <c r="A128" s="10">
        <v>10136</v>
      </c>
      <c r="B128" s="20">
        <v>44811</v>
      </c>
      <c r="C128" t="s">
        <v>17</v>
      </c>
      <c r="D128" t="s">
        <v>21</v>
      </c>
      <c r="E128" s="14" t="s">
        <v>14</v>
      </c>
      <c r="F128" s="21">
        <v>199</v>
      </c>
      <c r="G128" s="21">
        <v>39</v>
      </c>
      <c r="H128" s="22">
        <v>411.2</v>
      </c>
      <c r="I128" s="24">
        <v>81828.8</v>
      </c>
      <c r="J128" s="24">
        <v>16036.8</v>
      </c>
      <c r="K128" s="18">
        <f t="shared" si="2"/>
        <v>65792</v>
      </c>
      <c r="L128" s="19">
        <f t="shared" si="3"/>
        <v>0.195979899497487</v>
      </c>
    </row>
    <row r="129" spans="1:12">
      <c r="A129" s="10">
        <v>10137</v>
      </c>
      <c r="B129" s="20">
        <v>44813</v>
      </c>
      <c r="C129" t="s">
        <v>17</v>
      </c>
      <c r="D129" t="s">
        <v>15</v>
      </c>
      <c r="E129" s="14" t="s">
        <v>14</v>
      </c>
      <c r="F129" s="21">
        <v>199</v>
      </c>
      <c r="G129" s="21">
        <v>39</v>
      </c>
      <c r="H129" s="22">
        <v>194.3</v>
      </c>
      <c r="I129" s="24">
        <v>38665.7</v>
      </c>
      <c r="J129" s="24">
        <v>7577.7</v>
      </c>
      <c r="K129" s="18">
        <f t="shared" si="2"/>
        <v>31088</v>
      </c>
      <c r="L129" s="19">
        <f t="shared" si="3"/>
        <v>0.195979899497487</v>
      </c>
    </row>
    <row r="130" spans="1:12">
      <c r="A130" s="10">
        <v>10138</v>
      </c>
      <c r="B130" s="20">
        <v>44815</v>
      </c>
      <c r="C130" t="s">
        <v>24</v>
      </c>
      <c r="D130" t="s">
        <v>21</v>
      </c>
      <c r="E130" t="s">
        <v>19</v>
      </c>
      <c r="F130" s="21">
        <v>199</v>
      </c>
      <c r="G130" s="21">
        <v>39</v>
      </c>
      <c r="H130" s="22">
        <v>167.9</v>
      </c>
      <c r="I130" s="24">
        <v>33412.1</v>
      </c>
      <c r="J130" s="24">
        <v>6548.1</v>
      </c>
      <c r="K130" s="18">
        <f t="shared" si="2"/>
        <v>26864</v>
      </c>
      <c r="L130" s="19">
        <f t="shared" si="3"/>
        <v>0.195979899497487</v>
      </c>
    </row>
    <row r="131" spans="1:12">
      <c r="A131" s="10">
        <v>10139</v>
      </c>
      <c r="B131" s="20">
        <v>44817</v>
      </c>
      <c r="C131" t="s">
        <v>24</v>
      </c>
      <c r="D131" t="s">
        <v>21</v>
      </c>
      <c r="E131" t="s">
        <v>22</v>
      </c>
      <c r="F131" s="23">
        <v>1099</v>
      </c>
      <c r="G131" s="23">
        <v>289</v>
      </c>
      <c r="H131" s="22">
        <v>132.2</v>
      </c>
      <c r="I131" s="24">
        <v>145287.8</v>
      </c>
      <c r="J131" s="24">
        <v>38205.8</v>
      </c>
      <c r="K131" s="18">
        <f t="shared" ref="K131:K194" si="4">I131-J131</f>
        <v>107082</v>
      </c>
      <c r="L131" s="19">
        <f t="shared" ref="L131:L194" si="5">J131/I131</f>
        <v>0.262966333030027</v>
      </c>
    </row>
    <row r="132" spans="1:12">
      <c r="A132" s="10">
        <v>10140</v>
      </c>
      <c r="B132" s="20">
        <v>44819</v>
      </c>
      <c r="C132" t="s">
        <v>17</v>
      </c>
      <c r="D132" t="s">
        <v>18</v>
      </c>
      <c r="E132" t="s">
        <v>16</v>
      </c>
      <c r="F132" s="23">
        <v>1099</v>
      </c>
      <c r="G132" s="23">
        <v>289</v>
      </c>
      <c r="H132" s="22">
        <v>139.4</v>
      </c>
      <c r="I132" s="24">
        <v>153200.6</v>
      </c>
      <c r="J132" s="24">
        <v>40286.6</v>
      </c>
      <c r="K132" s="18">
        <f t="shared" si="4"/>
        <v>112914</v>
      </c>
      <c r="L132" s="19">
        <f t="shared" si="5"/>
        <v>0.262966333030027</v>
      </c>
    </row>
    <row r="133" spans="1:12">
      <c r="A133" s="10">
        <v>10141</v>
      </c>
      <c r="B133" s="20">
        <v>44821</v>
      </c>
      <c r="C133" t="s">
        <v>24</v>
      </c>
      <c r="D133" t="s">
        <v>21</v>
      </c>
      <c r="E133" t="s">
        <v>19</v>
      </c>
      <c r="F133" s="23">
        <v>1099</v>
      </c>
      <c r="G133" s="23">
        <v>289</v>
      </c>
      <c r="H133" s="22">
        <v>106</v>
      </c>
      <c r="I133" s="24">
        <v>116494</v>
      </c>
      <c r="J133" s="24">
        <v>30634</v>
      </c>
      <c r="K133" s="18">
        <f t="shared" si="4"/>
        <v>85860</v>
      </c>
      <c r="L133" s="19">
        <f t="shared" si="5"/>
        <v>0.262966333030027</v>
      </c>
    </row>
    <row r="134" spans="1:12">
      <c r="A134" s="10">
        <v>10142</v>
      </c>
      <c r="B134" s="20">
        <v>44823</v>
      </c>
      <c r="C134" t="s">
        <v>23</v>
      </c>
      <c r="D134" t="s">
        <v>15</v>
      </c>
      <c r="E134" t="s">
        <v>16</v>
      </c>
      <c r="F134" s="21">
        <v>599</v>
      </c>
      <c r="G134" s="21">
        <v>299</v>
      </c>
      <c r="H134" s="22">
        <v>271.9</v>
      </c>
      <c r="I134" s="24">
        <v>162868.1</v>
      </c>
      <c r="J134" s="24">
        <v>81298.1</v>
      </c>
      <c r="K134" s="18">
        <f t="shared" si="4"/>
        <v>81570</v>
      </c>
      <c r="L134" s="19">
        <f t="shared" si="5"/>
        <v>0.499165275459098</v>
      </c>
    </row>
    <row r="135" spans="1:12">
      <c r="A135" s="10">
        <v>10143</v>
      </c>
      <c r="B135" s="20">
        <v>44825</v>
      </c>
      <c r="C135" t="s">
        <v>23</v>
      </c>
      <c r="D135" t="s">
        <v>15</v>
      </c>
      <c r="E135" t="s">
        <v>19</v>
      </c>
      <c r="F135" s="21">
        <v>199</v>
      </c>
      <c r="G135" s="21">
        <v>39</v>
      </c>
      <c r="H135" s="22">
        <v>236</v>
      </c>
      <c r="I135" s="24">
        <v>46964</v>
      </c>
      <c r="J135" s="24">
        <v>9204</v>
      </c>
      <c r="K135" s="18">
        <f t="shared" si="4"/>
        <v>37760</v>
      </c>
      <c r="L135" s="19">
        <f t="shared" si="5"/>
        <v>0.195979899497487</v>
      </c>
    </row>
    <row r="136" spans="1:12">
      <c r="A136" s="10">
        <v>10144</v>
      </c>
      <c r="B136" s="20">
        <v>44827</v>
      </c>
      <c r="C136" t="s">
        <v>20</v>
      </c>
      <c r="D136" t="s">
        <v>18</v>
      </c>
      <c r="E136" s="14" t="s">
        <v>14</v>
      </c>
      <c r="F136" s="21">
        <v>1299</v>
      </c>
      <c r="G136" s="21">
        <v>459</v>
      </c>
      <c r="H136" s="22">
        <v>339.8</v>
      </c>
      <c r="I136" s="24">
        <v>441400.2</v>
      </c>
      <c r="J136" s="24">
        <v>155968.2</v>
      </c>
      <c r="K136" s="18">
        <f t="shared" si="4"/>
        <v>285432</v>
      </c>
      <c r="L136" s="19">
        <f t="shared" si="5"/>
        <v>0.353348729792148</v>
      </c>
    </row>
    <row r="137" spans="1:12">
      <c r="A137" s="10">
        <v>10145</v>
      </c>
      <c r="B137" s="20">
        <v>44829</v>
      </c>
      <c r="C137" t="s">
        <v>20</v>
      </c>
      <c r="D137" t="s">
        <v>21</v>
      </c>
      <c r="E137" s="14" t="s">
        <v>14</v>
      </c>
      <c r="F137" s="21">
        <v>599</v>
      </c>
      <c r="G137" s="21">
        <v>299</v>
      </c>
      <c r="H137" s="22">
        <v>403.6</v>
      </c>
      <c r="I137" s="24">
        <v>241756.4</v>
      </c>
      <c r="J137" s="24">
        <v>120676.4</v>
      </c>
      <c r="K137" s="18">
        <f t="shared" si="4"/>
        <v>121080</v>
      </c>
      <c r="L137" s="19">
        <f t="shared" si="5"/>
        <v>0.499165275459099</v>
      </c>
    </row>
    <row r="138" spans="1:12">
      <c r="A138" s="10">
        <v>10146</v>
      </c>
      <c r="B138" s="20">
        <v>44831</v>
      </c>
      <c r="C138" t="s">
        <v>24</v>
      </c>
      <c r="D138" t="s">
        <v>18</v>
      </c>
      <c r="E138" t="s">
        <v>19</v>
      </c>
      <c r="F138" s="21">
        <v>1299</v>
      </c>
      <c r="G138" s="21">
        <v>459</v>
      </c>
      <c r="H138" s="22">
        <v>218.6</v>
      </c>
      <c r="I138" s="24">
        <v>283961.4</v>
      </c>
      <c r="J138" s="24">
        <v>100337.4</v>
      </c>
      <c r="K138" s="18">
        <f t="shared" si="4"/>
        <v>183624</v>
      </c>
      <c r="L138" s="19">
        <f t="shared" si="5"/>
        <v>0.353348729792148</v>
      </c>
    </row>
    <row r="139" spans="1:12">
      <c r="A139" s="10">
        <v>10147</v>
      </c>
      <c r="B139" s="20">
        <v>44833</v>
      </c>
      <c r="C139" t="s">
        <v>24</v>
      </c>
      <c r="D139" t="s">
        <v>15</v>
      </c>
      <c r="E139" t="s">
        <v>19</v>
      </c>
      <c r="F139" s="21">
        <v>1299</v>
      </c>
      <c r="G139" s="21">
        <v>459</v>
      </c>
      <c r="H139" s="22">
        <v>462.2</v>
      </c>
      <c r="I139" s="24">
        <v>600397.8</v>
      </c>
      <c r="J139" s="24">
        <v>212149.8</v>
      </c>
      <c r="K139" s="18">
        <f t="shared" si="4"/>
        <v>388248</v>
      </c>
      <c r="L139" s="19">
        <f t="shared" si="5"/>
        <v>0.353348729792148</v>
      </c>
    </row>
    <row r="140" spans="1:12">
      <c r="A140" s="10">
        <v>10148</v>
      </c>
      <c r="B140" s="20">
        <v>44835</v>
      </c>
      <c r="C140" t="s">
        <v>24</v>
      </c>
      <c r="D140" t="s">
        <v>18</v>
      </c>
      <c r="E140" t="s">
        <v>19</v>
      </c>
      <c r="F140" s="21">
        <v>449</v>
      </c>
      <c r="G140" s="21">
        <v>159</v>
      </c>
      <c r="H140" s="22">
        <v>210.9</v>
      </c>
      <c r="I140" s="24">
        <v>94694.1</v>
      </c>
      <c r="J140" s="24">
        <v>33533.1</v>
      </c>
      <c r="K140" s="18">
        <f t="shared" si="4"/>
        <v>61161</v>
      </c>
      <c r="L140" s="19">
        <f t="shared" si="5"/>
        <v>0.354120267260579</v>
      </c>
    </row>
    <row r="141" spans="1:12">
      <c r="A141" s="10">
        <v>10149</v>
      </c>
      <c r="B141" s="20">
        <v>44837</v>
      </c>
      <c r="C141" t="s">
        <v>12</v>
      </c>
      <c r="D141" t="s">
        <v>15</v>
      </c>
      <c r="E141" t="s">
        <v>19</v>
      </c>
      <c r="F141" s="21">
        <v>449</v>
      </c>
      <c r="G141" s="21">
        <v>159</v>
      </c>
      <c r="H141" s="22">
        <v>453.4</v>
      </c>
      <c r="I141" s="24">
        <v>203576.6</v>
      </c>
      <c r="J141" s="24">
        <v>72090.6</v>
      </c>
      <c r="K141" s="18">
        <f t="shared" si="4"/>
        <v>131486</v>
      </c>
      <c r="L141" s="19">
        <f t="shared" si="5"/>
        <v>0.354120267260579</v>
      </c>
    </row>
    <row r="142" spans="1:12">
      <c r="A142" s="10">
        <v>10150</v>
      </c>
      <c r="B142" s="20">
        <v>44839</v>
      </c>
      <c r="C142" t="s">
        <v>12</v>
      </c>
      <c r="D142" t="s">
        <v>18</v>
      </c>
      <c r="E142" t="s">
        <v>16</v>
      </c>
      <c r="F142" s="21">
        <v>199</v>
      </c>
      <c r="G142" s="21">
        <v>39</v>
      </c>
      <c r="H142" s="22">
        <v>471.9</v>
      </c>
      <c r="I142" s="24">
        <v>93908.1</v>
      </c>
      <c r="J142" s="24">
        <v>18404.1</v>
      </c>
      <c r="K142" s="18">
        <f t="shared" si="4"/>
        <v>75504</v>
      </c>
      <c r="L142" s="19">
        <f t="shared" si="5"/>
        <v>0.195979899497487</v>
      </c>
    </row>
    <row r="143" spans="1:12">
      <c r="A143" s="10">
        <v>10151</v>
      </c>
      <c r="B143" s="20">
        <v>44841</v>
      </c>
      <c r="C143" t="s">
        <v>12</v>
      </c>
      <c r="D143" t="s">
        <v>18</v>
      </c>
      <c r="E143" t="s">
        <v>22</v>
      </c>
      <c r="F143" s="21">
        <v>449</v>
      </c>
      <c r="G143" s="21">
        <v>159</v>
      </c>
      <c r="H143" s="22">
        <v>128.3</v>
      </c>
      <c r="I143" s="24">
        <v>57606.7</v>
      </c>
      <c r="J143" s="24">
        <v>20399.7</v>
      </c>
      <c r="K143" s="18">
        <f t="shared" si="4"/>
        <v>37207</v>
      </c>
      <c r="L143" s="19">
        <f t="shared" si="5"/>
        <v>0.354120267260579</v>
      </c>
    </row>
    <row r="144" spans="1:12">
      <c r="A144" s="10">
        <v>10152</v>
      </c>
      <c r="B144" s="20">
        <v>44843</v>
      </c>
      <c r="C144" t="s">
        <v>20</v>
      </c>
      <c r="D144" t="s">
        <v>21</v>
      </c>
      <c r="E144" t="s">
        <v>22</v>
      </c>
      <c r="F144" s="21">
        <v>599</v>
      </c>
      <c r="G144" s="21">
        <v>299</v>
      </c>
      <c r="H144" s="22">
        <v>198.2</v>
      </c>
      <c r="I144" s="24">
        <v>118721.8</v>
      </c>
      <c r="J144" s="24">
        <v>59261.8</v>
      </c>
      <c r="K144" s="18">
        <f t="shared" si="4"/>
        <v>59460</v>
      </c>
      <c r="L144" s="19">
        <f t="shared" si="5"/>
        <v>0.499165275459098</v>
      </c>
    </row>
    <row r="145" spans="1:12">
      <c r="A145" s="10">
        <v>10153</v>
      </c>
      <c r="B145" s="20">
        <v>44845</v>
      </c>
      <c r="C145" t="s">
        <v>24</v>
      </c>
      <c r="D145" t="s">
        <v>21</v>
      </c>
      <c r="E145" s="14" t="s">
        <v>14</v>
      </c>
      <c r="F145" s="21">
        <v>599</v>
      </c>
      <c r="G145" s="21">
        <v>299</v>
      </c>
      <c r="H145" s="22">
        <v>300.3</v>
      </c>
      <c r="I145" s="24">
        <v>179879.7</v>
      </c>
      <c r="J145" s="24">
        <v>89789.7</v>
      </c>
      <c r="K145" s="18">
        <f t="shared" si="4"/>
        <v>90090</v>
      </c>
      <c r="L145" s="19">
        <f t="shared" si="5"/>
        <v>0.499165275459098</v>
      </c>
    </row>
    <row r="146" spans="1:12">
      <c r="A146" s="10">
        <v>10154</v>
      </c>
      <c r="B146" s="20">
        <v>44845</v>
      </c>
      <c r="C146" t="s">
        <v>17</v>
      </c>
      <c r="D146" t="s">
        <v>15</v>
      </c>
      <c r="E146" s="14" t="s">
        <v>14</v>
      </c>
      <c r="F146" s="23">
        <v>1099</v>
      </c>
      <c r="G146" s="23">
        <v>289</v>
      </c>
      <c r="H146" s="22">
        <v>129.4</v>
      </c>
      <c r="I146" s="24">
        <v>142210.6</v>
      </c>
      <c r="J146" s="24">
        <v>37396.6</v>
      </c>
      <c r="K146" s="18">
        <f t="shared" si="4"/>
        <v>104814</v>
      </c>
      <c r="L146" s="19">
        <f t="shared" si="5"/>
        <v>0.262966333030027</v>
      </c>
    </row>
    <row r="147" spans="1:12">
      <c r="A147" s="10">
        <v>10155</v>
      </c>
      <c r="B147" s="20">
        <v>44845</v>
      </c>
      <c r="C147" t="s">
        <v>20</v>
      </c>
      <c r="D147" t="s">
        <v>18</v>
      </c>
      <c r="E147" s="14" t="s">
        <v>14</v>
      </c>
      <c r="F147" s="23">
        <v>1099</v>
      </c>
      <c r="G147" s="23">
        <v>289</v>
      </c>
      <c r="H147" s="22">
        <v>341.7</v>
      </c>
      <c r="I147" s="24">
        <v>375528.3</v>
      </c>
      <c r="J147" s="24">
        <v>98751.3</v>
      </c>
      <c r="K147" s="18">
        <f t="shared" si="4"/>
        <v>276777</v>
      </c>
      <c r="L147" s="19">
        <f t="shared" si="5"/>
        <v>0.262966333030027</v>
      </c>
    </row>
    <row r="148" spans="1:12">
      <c r="A148" s="10">
        <v>10156</v>
      </c>
      <c r="B148" s="20">
        <v>44845</v>
      </c>
      <c r="C148" t="s">
        <v>17</v>
      </c>
      <c r="D148" t="s">
        <v>21</v>
      </c>
      <c r="E148" s="14" t="s">
        <v>14</v>
      </c>
      <c r="F148" s="21">
        <v>599</v>
      </c>
      <c r="G148" s="21">
        <v>299</v>
      </c>
      <c r="H148" s="22">
        <v>155.6</v>
      </c>
      <c r="I148" s="24">
        <v>93204.4</v>
      </c>
      <c r="J148" s="24">
        <v>46524.4</v>
      </c>
      <c r="K148" s="18">
        <f t="shared" si="4"/>
        <v>46680</v>
      </c>
      <c r="L148" s="19">
        <f t="shared" si="5"/>
        <v>0.499165275459099</v>
      </c>
    </row>
    <row r="149" spans="1:12">
      <c r="A149" s="10">
        <v>10157</v>
      </c>
      <c r="B149" s="20">
        <v>44845</v>
      </c>
      <c r="C149" t="s">
        <v>17</v>
      </c>
      <c r="D149" t="s">
        <v>18</v>
      </c>
      <c r="E149" s="14" t="s">
        <v>14</v>
      </c>
      <c r="F149" s="21">
        <v>1299</v>
      </c>
      <c r="G149" s="21">
        <v>459</v>
      </c>
      <c r="H149" s="22">
        <v>318.4</v>
      </c>
      <c r="I149" s="24">
        <v>413601.6</v>
      </c>
      <c r="J149" s="24">
        <v>146145.6</v>
      </c>
      <c r="K149" s="18">
        <f t="shared" si="4"/>
        <v>267456</v>
      </c>
      <c r="L149" s="19">
        <f t="shared" si="5"/>
        <v>0.353348729792148</v>
      </c>
    </row>
    <row r="150" spans="1:12">
      <c r="A150" s="10">
        <v>10158</v>
      </c>
      <c r="B150" s="20">
        <v>44845</v>
      </c>
      <c r="C150" t="s">
        <v>23</v>
      </c>
      <c r="D150" t="s">
        <v>15</v>
      </c>
      <c r="E150" t="s">
        <v>22</v>
      </c>
      <c r="F150" s="21">
        <v>199</v>
      </c>
      <c r="G150" s="21">
        <v>39</v>
      </c>
      <c r="H150" s="22">
        <v>307.6</v>
      </c>
      <c r="I150" s="24">
        <v>61212.4</v>
      </c>
      <c r="J150" s="24">
        <v>11996.4</v>
      </c>
      <c r="K150" s="18">
        <f t="shared" si="4"/>
        <v>49216</v>
      </c>
      <c r="L150" s="19">
        <f t="shared" si="5"/>
        <v>0.195979899497487</v>
      </c>
    </row>
    <row r="151" spans="1:12">
      <c r="A151" s="10">
        <v>10159</v>
      </c>
      <c r="B151" s="20">
        <v>44845</v>
      </c>
      <c r="C151" t="s">
        <v>23</v>
      </c>
      <c r="D151" t="s">
        <v>18</v>
      </c>
      <c r="E151" t="s">
        <v>16</v>
      </c>
      <c r="F151" s="21">
        <v>1299</v>
      </c>
      <c r="G151" s="21">
        <v>459</v>
      </c>
      <c r="H151" s="22">
        <v>187.3</v>
      </c>
      <c r="I151" s="24">
        <v>243302.7</v>
      </c>
      <c r="J151" s="24">
        <v>85970.7</v>
      </c>
      <c r="K151" s="18">
        <f t="shared" si="4"/>
        <v>157332</v>
      </c>
      <c r="L151" s="19">
        <f t="shared" si="5"/>
        <v>0.353348729792148</v>
      </c>
    </row>
    <row r="152" spans="1:12">
      <c r="A152" s="10">
        <v>10160</v>
      </c>
      <c r="B152" s="20">
        <v>44845</v>
      </c>
      <c r="C152" t="s">
        <v>24</v>
      </c>
      <c r="D152" t="s">
        <v>21</v>
      </c>
      <c r="E152" t="s">
        <v>16</v>
      </c>
      <c r="F152" s="21">
        <v>199</v>
      </c>
      <c r="G152" s="21">
        <v>39</v>
      </c>
      <c r="H152" s="22">
        <v>157.4</v>
      </c>
      <c r="I152" s="24">
        <v>31322.6</v>
      </c>
      <c r="J152" s="24">
        <v>6138.6</v>
      </c>
      <c r="K152" s="18">
        <f t="shared" si="4"/>
        <v>25184</v>
      </c>
      <c r="L152" s="19">
        <f t="shared" si="5"/>
        <v>0.195979899497487</v>
      </c>
    </row>
    <row r="153" spans="1:12">
      <c r="A153" s="10">
        <v>10161</v>
      </c>
      <c r="B153" s="20">
        <v>44845</v>
      </c>
      <c r="C153" t="s">
        <v>23</v>
      </c>
      <c r="D153" t="s">
        <v>18</v>
      </c>
      <c r="E153" t="s">
        <v>19</v>
      </c>
      <c r="F153" s="21">
        <v>449</v>
      </c>
      <c r="G153" s="21">
        <v>159</v>
      </c>
      <c r="H153" s="22">
        <v>219.3</v>
      </c>
      <c r="I153" s="24">
        <v>98465.7</v>
      </c>
      <c r="J153" s="24">
        <v>34868.7</v>
      </c>
      <c r="K153" s="18">
        <f t="shared" si="4"/>
        <v>63597</v>
      </c>
      <c r="L153" s="19">
        <f t="shared" si="5"/>
        <v>0.354120267260579</v>
      </c>
    </row>
    <row r="154" spans="1:12">
      <c r="A154" s="10">
        <v>10162</v>
      </c>
      <c r="B154" s="20">
        <v>44845</v>
      </c>
      <c r="C154" t="s">
        <v>20</v>
      </c>
      <c r="D154" t="s">
        <v>15</v>
      </c>
      <c r="E154" t="s">
        <v>19</v>
      </c>
      <c r="F154" s="21">
        <v>199</v>
      </c>
      <c r="G154" s="21">
        <v>39</v>
      </c>
      <c r="H154" s="22">
        <v>133</v>
      </c>
      <c r="I154" s="24">
        <v>26467</v>
      </c>
      <c r="J154" s="24">
        <v>5187</v>
      </c>
      <c r="K154" s="18">
        <f t="shared" si="4"/>
        <v>21280</v>
      </c>
      <c r="L154" s="19">
        <f t="shared" si="5"/>
        <v>0.195979899497487</v>
      </c>
    </row>
    <row r="155" spans="1:12">
      <c r="A155" s="10">
        <v>10163</v>
      </c>
      <c r="B155" s="20">
        <v>44845</v>
      </c>
      <c r="C155" t="s">
        <v>20</v>
      </c>
      <c r="D155" t="s">
        <v>18</v>
      </c>
      <c r="E155" t="s">
        <v>16</v>
      </c>
      <c r="F155" s="21">
        <v>1299</v>
      </c>
      <c r="G155" s="21">
        <v>459</v>
      </c>
      <c r="H155" s="22">
        <v>357.6</v>
      </c>
      <c r="I155" s="24">
        <v>464522.4</v>
      </c>
      <c r="J155" s="24">
        <v>164138.4</v>
      </c>
      <c r="K155" s="18">
        <f t="shared" si="4"/>
        <v>300384</v>
      </c>
      <c r="L155" s="19">
        <f t="shared" si="5"/>
        <v>0.353348729792148</v>
      </c>
    </row>
    <row r="156" spans="1:12">
      <c r="A156" s="10">
        <v>10164</v>
      </c>
      <c r="B156" s="20">
        <v>44845</v>
      </c>
      <c r="C156" t="s">
        <v>12</v>
      </c>
      <c r="D156" t="s">
        <v>21</v>
      </c>
      <c r="E156" t="s">
        <v>19</v>
      </c>
      <c r="F156" s="21">
        <v>199</v>
      </c>
      <c r="G156" s="21">
        <v>39</v>
      </c>
      <c r="H156" s="22">
        <v>400.6</v>
      </c>
      <c r="I156" s="24">
        <v>79719.4</v>
      </c>
      <c r="J156" s="24">
        <v>15623.4</v>
      </c>
      <c r="K156" s="18">
        <f t="shared" si="4"/>
        <v>64096</v>
      </c>
      <c r="L156" s="19">
        <f t="shared" si="5"/>
        <v>0.195979899497487</v>
      </c>
    </row>
    <row r="157" spans="1:12">
      <c r="A157" s="10">
        <v>10165</v>
      </c>
      <c r="B157" s="20">
        <v>44845</v>
      </c>
      <c r="C157" t="s">
        <v>12</v>
      </c>
      <c r="D157" t="s">
        <v>18</v>
      </c>
      <c r="E157" t="s">
        <v>16</v>
      </c>
      <c r="F157" s="21">
        <v>199</v>
      </c>
      <c r="G157" s="21">
        <v>39</v>
      </c>
      <c r="H157" s="22">
        <v>433.1</v>
      </c>
      <c r="I157" s="24">
        <v>86186.9</v>
      </c>
      <c r="J157" s="24">
        <v>16890.9</v>
      </c>
      <c r="K157" s="18">
        <f t="shared" si="4"/>
        <v>69296</v>
      </c>
      <c r="L157" s="19">
        <f t="shared" si="5"/>
        <v>0.195979899497487</v>
      </c>
    </row>
    <row r="158" spans="1:12">
      <c r="A158" s="10">
        <v>10166</v>
      </c>
      <c r="B158" s="20">
        <v>44845</v>
      </c>
      <c r="C158" t="s">
        <v>20</v>
      </c>
      <c r="D158" t="s">
        <v>15</v>
      </c>
      <c r="E158" t="s">
        <v>16</v>
      </c>
      <c r="F158" s="23">
        <v>1099</v>
      </c>
      <c r="G158" s="23">
        <v>289</v>
      </c>
      <c r="H158" s="22">
        <v>205.9</v>
      </c>
      <c r="I158" s="24">
        <v>226284.1</v>
      </c>
      <c r="J158" s="24">
        <v>59505.1</v>
      </c>
      <c r="K158" s="18">
        <f t="shared" si="4"/>
        <v>166779</v>
      </c>
      <c r="L158" s="19">
        <f t="shared" si="5"/>
        <v>0.262966333030027</v>
      </c>
    </row>
    <row r="159" spans="1:12">
      <c r="A159" s="10">
        <v>10167</v>
      </c>
      <c r="B159" s="20">
        <v>44847</v>
      </c>
      <c r="C159" t="s">
        <v>17</v>
      </c>
      <c r="D159" t="s">
        <v>18</v>
      </c>
      <c r="E159" t="s">
        <v>16</v>
      </c>
      <c r="F159" s="21">
        <v>199</v>
      </c>
      <c r="G159" s="21">
        <v>39</v>
      </c>
      <c r="H159" s="22">
        <v>436</v>
      </c>
      <c r="I159" s="24">
        <v>86764</v>
      </c>
      <c r="J159" s="24">
        <v>17004</v>
      </c>
      <c r="K159" s="18">
        <f t="shared" si="4"/>
        <v>69760</v>
      </c>
      <c r="L159" s="19">
        <f t="shared" si="5"/>
        <v>0.195979899497487</v>
      </c>
    </row>
    <row r="160" spans="1:12">
      <c r="A160" s="10">
        <v>10168</v>
      </c>
      <c r="B160" s="20">
        <v>44849</v>
      </c>
      <c r="C160" t="s">
        <v>24</v>
      </c>
      <c r="D160" t="s">
        <v>21</v>
      </c>
      <c r="E160" t="s">
        <v>16</v>
      </c>
      <c r="F160" s="21">
        <v>599</v>
      </c>
      <c r="G160" s="21">
        <v>299</v>
      </c>
      <c r="H160" s="22">
        <v>114.7</v>
      </c>
      <c r="I160" s="24">
        <v>68705.3</v>
      </c>
      <c r="J160" s="24">
        <v>34295.3</v>
      </c>
      <c r="K160" s="18">
        <f t="shared" si="4"/>
        <v>34410</v>
      </c>
      <c r="L160" s="19">
        <f t="shared" si="5"/>
        <v>0.499165275459099</v>
      </c>
    </row>
    <row r="161" spans="1:12">
      <c r="A161" s="10">
        <v>10169</v>
      </c>
      <c r="B161" s="20">
        <v>44851</v>
      </c>
      <c r="C161" t="s">
        <v>17</v>
      </c>
      <c r="D161" t="s">
        <v>21</v>
      </c>
      <c r="E161" t="s">
        <v>16</v>
      </c>
      <c r="F161" s="23">
        <v>1099</v>
      </c>
      <c r="G161" s="23">
        <v>289</v>
      </c>
      <c r="H161" s="22">
        <v>213.8</v>
      </c>
      <c r="I161" s="24">
        <v>234966.2</v>
      </c>
      <c r="J161" s="24">
        <v>61788.2</v>
      </c>
      <c r="K161" s="18">
        <f t="shared" si="4"/>
        <v>173178</v>
      </c>
      <c r="L161" s="19">
        <f t="shared" si="5"/>
        <v>0.262966333030027</v>
      </c>
    </row>
    <row r="162" spans="1:12">
      <c r="A162" s="10">
        <v>10170</v>
      </c>
      <c r="B162" s="20">
        <v>44853</v>
      </c>
      <c r="C162" t="s">
        <v>24</v>
      </c>
      <c r="D162" t="s">
        <v>13</v>
      </c>
      <c r="E162" t="s">
        <v>16</v>
      </c>
      <c r="F162" s="21">
        <v>1299</v>
      </c>
      <c r="G162" s="21">
        <v>459</v>
      </c>
      <c r="H162" s="22">
        <v>124</v>
      </c>
      <c r="I162" s="24">
        <v>161076</v>
      </c>
      <c r="J162" s="24">
        <v>56916</v>
      </c>
      <c r="K162" s="18">
        <f t="shared" si="4"/>
        <v>104160</v>
      </c>
      <c r="L162" s="19">
        <f t="shared" si="5"/>
        <v>0.353348729792148</v>
      </c>
    </row>
    <row r="163" spans="1:12">
      <c r="A163" s="10">
        <v>10171</v>
      </c>
      <c r="B163" s="20">
        <v>44855</v>
      </c>
      <c r="C163" t="s">
        <v>23</v>
      </c>
      <c r="D163" t="s">
        <v>21</v>
      </c>
      <c r="E163" t="s">
        <v>16</v>
      </c>
      <c r="F163" s="21">
        <v>199</v>
      </c>
      <c r="G163" s="21">
        <v>39</v>
      </c>
      <c r="H163" s="22">
        <v>285.1</v>
      </c>
      <c r="I163" s="24">
        <v>56734.9</v>
      </c>
      <c r="J163" s="24">
        <v>11118.9</v>
      </c>
      <c r="K163" s="18">
        <f t="shared" si="4"/>
        <v>45616</v>
      </c>
      <c r="L163" s="19">
        <f t="shared" si="5"/>
        <v>0.195979899497487</v>
      </c>
    </row>
    <row r="164" spans="1:12">
      <c r="A164" s="10">
        <v>10172</v>
      </c>
      <c r="B164" s="20">
        <v>44857</v>
      </c>
      <c r="C164" t="s">
        <v>24</v>
      </c>
      <c r="D164" t="s">
        <v>15</v>
      </c>
      <c r="E164" s="14" t="s">
        <v>14</v>
      </c>
      <c r="F164" s="21">
        <v>199</v>
      </c>
      <c r="G164" s="21">
        <v>39</v>
      </c>
      <c r="H164" s="22">
        <v>228.9</v>
      </c>
      <c r="I164" s="24">
        <v>45551.1</v>
      </c>
      <c r="J164" s="24">
        <v>8927.1</v>
      </c>
      <c r="K164" s="18">
        <f t="shared" si="4"/>
        <v>36624</v>
      </c>
      <c r="L164" s="19">
        <f t="shared" si="5"/>
        <v>0.195979899497487</v>
      </c>
    </row>
    <row r="165" spans="1:12">
      <c r="A165" s="10">
        <v>10173</v>
      </c>
      <c r="B165" s="20">
        <v>44859</v>
      </c>
      <c r="C165" t="s">
        <v>17</v>
      </c>
      <c r="D165" t="s">
        <v>15</v>
      </c>
      <c r="E165" s="14" t="s">
        <v>14</v>
      </c>
      <c r="F165" s="21">
        <v>199</v>
      </c>
      <c r="G165" s="21">
        <v>39</v>
      </c>
      <c r="H165" s="22">
        <v>361</v>
      </c>
      <c r="I165" s="24">
        <v>71839</v>
      </c>
      <c r="J165" s="24">
        <v>14079</v>
      </c>
      <c r="K165" s="18">
        <f t="shared" si="4"/>
        <v>57760</v>
      </c>
      <c r="L165" s="19">
        <f t="shared" si="5"/>
        <v>0.195979899497487</v>
      </c>
    </row>
    <row r="166" spans="1:12">
      <c r="A166" s="10">
        <v>10174</v>
      </c>
      <c r="B166" s="20">
        <v>44861</v>
      </c>
      <c r="C166" t="s">
        <v>24</v>
      </c>
      <c r="D166" t="s">
        <v>13</v>
      </c>
      <c r="E166" s="14" t="s">
        <v>14</v>
      </c>
      <c r="F166" s="23">
        <v>1099</v>
      </c>
      <c r="G166" s="23">
        <v>289</v>
      </c>
      <c r="H166" s="22">
        <v>425.7</v>
      </c>
      <c r="I166" s="24">
        <v>467844.3</v>
      </c>
      <c r="J166" s="24">
        <v>123027.3</v>
      </c>
      <c r="K166" s="18">
        <f t="shared" si="4"/>
        <v>344817</v>
      </c>
      <c r="L166" s="19">
        <f t="shared" si="5"/>
        <v>0.262966333030027</v>
      </c>
    </row>
    <row r="167" spans="1:12">
      <c r="A167" s="10">
        <v>10175</v>
      </c>
      <c r="B167" s="20">
        <v>44863</v>
      </c>
      <c r="C167" t="s">
        <v>24</v>
      </c>
      <c r="D167" t="s">
        <v>13</v>
      </c>
      <c r="E167" s="14" t="s">
        <v>14</v>
      </c>
      <c r="F167" s="21">
        <v>199</v>
      </c>
      <c r="G167" s="21">
        <v>39</v>
      </c>
      <c r="H167" s="22">
        <v>233.3</v>
      </c>
      <c r="I167" s="24">
        <v>46426.7</v>
      </c>
      <c r="J167" s="24">
        <v>9098.7</v>
      </c>
      <c r="K167" s="18">
        <f t="shared" si="4"/>
        <v>37328</v>
      </c>
      <c r="L167" s="19">
        <f t="shared" si="5"/>
        <v>0.195979899497487</v>
      </c>
    </row>
    <row r="168" spans="1:12">
      <c r="A168" s="10">
        <v>10176</v>
      </c>
      <c r="B168" s="20">
        <v>44865</v>
      </c>
      <c r="C168" t="s">
        <v>12</v>
      </c>
      <c r="D168" t="s">
        <v>13</v>
      </c>
      <c r="E168" s="14" t="s">
        <v>14</v>
      </c>
      <c r="F168" s="21">
        <v>599</v>
      </c>
      <c r="G168" s="21">
        <v>299</v>
      </c>
      <c r="H168" s="22">
        <v>381.2</v>
      </c>
      <c r="I168" s="24">
        <v>228338.8</v>
      </c>
      <c r="J168" s="24">
        <v>113978.8</v>
      </c>
      <c r="K168" s="18">
        <f t="shared" si="4"/>
        <v>114360</v>
      </c>
      <c r="L168" s="19">
        <f t="shared" si="5"/>
        <v>0.499165275459099</v>
      </c>
    </row>
    <row r="169" spans="1:12">
      <c r="A169" s="10">
        <v>10177</v>
      </c>
      <c r="B169" s="20">
        <v>44867</v>
      </c>
      <c r="C169" t="s">
        <v>24</v>
      </c>
      <c r="D169" t="s">
        <v>15</v>
      </c>
      <c r="E169" s="14" t="s">
        <v>14</v>
      </c>
      <c r="F169" s="21">
        <v>1299</v>
      </c>
      <c r="G169" s="21">
        <v>459</v>
      </c>
      <c r="H169" s="22">
        <v>415.3</v>
      </c>
      <c r="I169" s="24">
        <v>539474.7</v>
      </c>
      <c r="J169" s="24">
        <v>190622.7</v>
      </c>
      <c r="K169" s="18">
        <f t="shared" si="4"/>
        <v>348852</v>
      </c>
      <c r="L169" s="19">
        <f t="shared" si="5"/>
        <v>0.353348729792148</v>
      </c>
    </row>
    <row r="170" spans="1:12">
      <c r="A170" s="10">
        <v>10178</v>
      </c>
      <c r="B170" s="20">
        <v>44869</v>
      </c>
      <c r="C170" t="s">
        <v>20</v>
      </c>
      <c r="D170" t="s">
        <v>21</v>
      </c>
      <c r="E170" t="s">
        <v>19</v>
      </c>
      <c r="F170" s="23">
        <v>1099</v>
      </c>
      <c r="G170" s="23">
        <v>289</v>
      </c>
      <c r="H170" s="22">
        <v>250.4</v>
      </c>
      <c r="I170" s="24">
        <v>275189.6</v>
      </c>
      <c r="J170" s="24">
        <v>72365.6</v>
      </c>
      <c r="K170" s="18">
        <f t="shared" si="4"/>
        <v>202824</v>
      </c>
      <c r="L170" s="19">
        <f t="shared" si="5"/>
        <v>0.262966333030027</v>
      </c>
    </row>
    <row r="171" spans="1:12">
      <c r="A171" s="10">
        <v>10179</v>
      </c>
      <c r="B171" s="20">
        <v>44871</v>
      </c>
      <c r="C171" t="s">
        <v>12</v>
      </c>
      <c r="D171" t="s">
        <v>15</v>
      </c>
      <c r="E171" t="s">
        <v>19</v>
      </c>
      <c r="F171" s="21">
        <v>449</v>
      </c>
      <c r="G171" s="21">
        <v>159</v>
      </c>
      <c r="H171" s="22">
        <v>280.1</v>
      </c>
      <c r="I171" s="24">
        <v>125764.9</v>
      </c>
      <c r="J171" s="24">
        <v>44535.9</v>
      </c>
      <c r="K171" s="18">
        <f t="shared" si="4"/>
        <v>81229</v>
      </c>
      <c r="L171" s="19">
        <f t="shared" si="5"/>
        <v>0.354120267260579</v>
      </c>
    </row>
    <row r="172" spans="1:12">
      <c r="A172" s="10">
        <v>10180</v>
      </c>
      <c r="B172" s="20">
        <v>44873</v>
      </c>
      <c r="C172" t="s">
        <v>17</v>
      </c>
      <c r="D172" t="s">
        <v>15</v>
      </c>
      <c r="E172" s="14" t="s">
        <v>14</v>
      </c>
      <c r="F172" s="21">
        <v>199</v>
      </c>
      <c r="G172" s="21">
        <v>39</v>
      </c>
      <c r="H172" s="22">
        <v>214.9</v>
      </c>
      <c r="I172" s="24">
        <v>42765.1</v>
      </c>
      <c r="J172" s="24">
        <v>8381.1</v>
      </c>
      <c r="K172" s="18">
        <f t="shared" si="4"/>
        <v>34384</v>
      </c>
      <c r="L172" s="19">
        <f t="shared" si="5"/>
        <v>0.195979899497487</v>
      </c>
    </row>
    <row r="173" spans="1:12">
      <c r="A173" s="10">
        <v>10181</v>
      </c>
      <c r="B173" s="20">
        <v>44875</v>
      </c>
      <c r="C173" t="s">
        <v>24</v>
      </c>
      <c r="D173" t="s">
        <v>15</v>
      </c>
      <c r="E173" t="s">
        <v>16</v>
      </c>
      <c r="F173" s="21">
        <v>599</v>
      </c>
      <c r="G173" s="21">
        <v>299</v>
      </c>
      <c r="H173" s="22">
        <v>319.2</v>
      </c>
      <c r="I173" s="24">
        <v>191200.8</v>
      </c>
      <c r="J173" s="24">
        <v>95440.8</v>
      </c>
      <c r="K173" s="18">
        <f t="shared" si="4"/>
        <v>95760</v>
      </c>
      <c r="L173" s="19">
        <f t="shared" si="5"/>
        <v>0.499165275459099</v>
      </c>
    </row>
    <row r="174" spans="1:12">
      <c r="A174" s="10">
        <v>10182</v>
      </c>
      <c r="B174" s="20">
        <v>44877</v>
      </c>
      <c r="C174" t="s">
        <v>24</v>
      </c>
      <c r="D174" t="s">
        <v>21</v>
      </c>
      <c r="E174" t="s">
        <v>16</v>
      </c>
      <c r="F174" s="21">
        <v>1299</v>
      </c>
      <c r="G174" s="21">
        <v>459</v>
      </c>
      <c r="H174" s="22">
        <v>209.9</v>
      </c>
      <c r="I174" s="24">
        <v>272660.1</v>
      </c>
      <c r="J174" s="24">
        <v>96344.1</v>
      </c>
      <c r="K174" s="18">
        <f t="shared" si="4"/>
        <v>176316</v>
      </c>
      <c r="L174" s="19">
        <f t="shared" si="5"/>
        <v>0.353348729792148</v>
      </c>
    </row>
    <row r="175" spans="1:12">
      <c r="A175" s="10">
        <v>10183</v>
      </c>
      <c r="B175" s="20">
        <v>44879</v>
      </c>
      <c r="C175" t="s">
        <v>24</v>
      </c>
      <c r="D175" s="14" t="s">
        <v>18</v>
      </c>
      <c r="E175" t="s">
        <v>16</v>
      </c>
      <c r="F175" s="23">
        <v>1099</v>
      </c>
      <c r="G175" s="23">
        <v>289</v>
      </c>
      <c r="H175" s="22">
        <v>197.9</v>
      </c>
      <c r="I175" s="24">
        <v>217492.1</v>
      </c>
      <c r="J175" s="24">
        <v>57193.1</v>
      </c>
      <c r="K175" s="18">
        <f t="shared" si="4"/>
        <v>160299</v>
      </c>
      <c r="L175" s="19">
        <f t="shared" si="5"/>
        <v>0.262966333030027</v>
      </c>
    </row>
    <row r="176" spans="1:12">
      <c r="A176" s="10">
        <v>10184</v>
      </c>
      <c r="B176" s="20">
        <v>44879</v>
      </c>
      <c r="C176" t="s">
        <v>12</v>
      </c>
      <c r="D176" s="14" t="s">
        <v>18</v>
      </c>
      <c r="E176" t="s">
        <v>16</v>
      </c>
      <c r="F176" s="23">
        <v>1099</v>
      </c>
      <c r="G176" s="23">
        <v>289</v>
      </c>
      <c r="H176" s="22">
        <v>122.2</v>
      </c>
      <c r="I176" s="24">
        <v>134297.8</v>
      </c>
      <c r="J176" s="24">
        <v>35315.8</v>
      </c>
      <c r="K176" s="18">
        <f t="shared" si="4"/>
        <v>98982</v>
      </c>
      <c r="L176" s="19">
        <f t="shared" si="5"/>
        <v>0.262966333030027</v>
      </c>
    </row>
    <row r="177" spans="1:12">
      <c r="A177" s="10">
        <v>10185</v>
      </c>
      <c r="B177" s="20">
        <v>44879</v>
      </c>
      <c r="C177" t="s">
        <v>24</v>
      </c>
      <c r="D177" s="14" t="s">
        <v>18</v>
      </c>
      <c r="E177" t="s">
        <v>16</v>
      </c>
      <c r="F177" s="21">
        <v>199</v>
      </c>
      <c r="G177" s="21">
        <v>39</v>
      </c>
      <c r="H177" s="22">
        <v>379.3</v>
      </c>
      <c r="I177" s="24">
        <v>75480.7</v>
      </c>
      <c r="J177" s="24">
        <v>14792.7</v>
      </c>
      <c r="K177" s="18">
        <f t="shared" si="4"/>
        <v>60688</v>
      </c>
      <c r="L177" s="19">
        <f t="shared" si="5"/>
        <v>0.195979899497487</v>
      </c>
    </row>
    <row r="178" spans="1:12">
      <c r="A178" s="10">
        <v>10186</v>
      </c>
      <c r="B178" s="20">
        <v>44879</v>
      </c>
      <c r="C178" t="s">
        <v>20</v>
      </c>
      <c r="D178" s="14" t="s">
        <v>18</v>
      </c>
      <c r="E178" t="s">
        <v>16</v>
      </c>
      <c r="F178" s="21">
        <v>449</v>
      </c>
      <c r="G178" s="21">
        <v>159</v>
      </c>
      <c r="H178" s="22">
        <v>120.8</v>
      </c>
      <c r="I178" s="24">
        <v>54239.2</v>
      </c>
      <c r="J178" s="24">
        <v>19207.2</v>
      </c>
      <c r="K178" s="18">
        <f t="shared" si="4"/>
        <v>35032</v>
      </c>
      <c r="L178" s="19">
        <f t="shared" si="5"/>
        <v>0.354120267260579</v>
      </c>
    </row>
    <row r="179" spans="1:12">
      <c r="A179" s="10">
        <v>10187</v>
      </c>
      <c r="B179" s="20">
        <v>44879</v>
      </c>
      <c r="C179" t="s">
        <v>17</v>
      </c>
      <c r="D179" s="14" t="s">
        <v>18</v>
      </c>
      <c r="E179" t="s">
        <v>16</v>
      </c>
      <c r="F179" s="21">
        <v>449</v>
      </c>
      <c r="G179" s="21">
        <v>159</v>
      </c>
      <c r="H179" s="22">
        <v>454.3</v>
      </c>
      <c r="I179" s="24">
        <v>203980.7</v>
      </c>
      <c r="J179" s="24">
        <v>72233.7</v>
      </c>
      <c r="K179" s="18">
        <f t="shared" si="4"/>
        <v>131747</v>
      </c>
      <c r="L179" s="19">
        <f t="shared" si="5"/>
        <v>0.354120267260579</v>
      </c>
    </row>
    <row r="180" spans="1:12">
      <c r="A180" s="10">
        <v>10188</v>
      </c>
      <c r="B180" s="20">
        <v>44881</v>
      </c>
      <c r="C180" t="s">
        <v>12</v>
      </c>
      <c r="D180" t="s">
        <v>15</v>
      </c>
      <c r="E180" t="s">
        <v>16</v>
      </c>
      <c r="F180" s="21">
        <v>199</v>
      </c>
      <c r="G180" s="21">
        <v>39</v>
      </c>
      <c r="H180" s="22">
        <v>245.8</v>
      </c>
      <c r="I180" s="24">
        <v>48914.2</v>
      </c>
      <c r="J180" s="24">
        <v>9586.2</v>
      </c>
      <c r="K180" s="18">
        <f t="shared" si="4"/>
        <v>39328</v>
      </c>
      <c r="L180" s="19">
        <f t="shared" si="5"/>
        <v>0.195979899497487</v>
      </c>
    </row>
    <row r="181" spans="1:12">
      <c r="A181" s="10">
        <v>10189</v>
      </c>
      <c r="B181" s="20">
        <v>44883</v>
      </c>
      <c r="C181" t="s">
        <v>23</v>
      </c>
      <c r="D181" s="14" t="s">
        <v>13</v>
      </c>
      <c r="E181" t="s">
        <v>16</v>
      </c>
      <c r="F181" s="21">
        <v>199</v>
      </c>
      <c r="G181" s="21">
        <v>39</v>
      </c>
      <c r="H181" s="22">
        <v>285.5</v>
      </c>
      <c r="I181" s="24">
        <v>56814.5</v>
      </c>
      <c r="J181" s="24">
        <v>11134.5</v>
      </c>
      <c r="K181" s="18">
        <f t="shared" si="4"/>
        <v>45680</v>
      </c>
      <c r="L181" s="19">
        <f t="shared" si="5"/>
        <v>0.195979899497487</v>
      </c>
    </row>
    <row r="182" spans="1:12">
      <c r="A182" s="10">
        <v>10190</v>
      </c>
      <c r="B182" s="20">
        <v>44879</v>
      </c>
      <c r="C182" t="s">
        <v>24</v>
      </c>
      <c r="D182" t="s">
        <v>21</v>
      </c>
      <c r="E182" s="14" t="s">
        <v>14</v>
      </c>
      <c r="F182" s="21">
        <v>199</v>
      </c>
      <c r="G182" s="21">
        <v>39</v>
      </c>
      <c r="H182" s="22">
        <v>242.1</v>
      </c>
      <c r="I182" s="24">
        <v>48177.9</v>
      </c>
      <c r="J182" s="24">
        <v>9441.9</v>
      </c>
      <c r="K182" s="18">
        <f t="shared" si="4"/>
        <v>38736</v>
      </c>
      <c r="L182" s="19">
        <f t="shared" si="5"/>
        <v>0.195979899497487</v>
      </c>
    </row>
    <row r="183" spans="1:12">
      <c r="A183" s="10">
        <v>10191</v>
      </c>
      <c r="B183" s="20">
        <v>44881</v>
      </c>
      <c r="C183" t="s">
        <v>20</v>
      </c>
      <c r="D183" t="s">
        <v>21</v>
      </c>
      <c r="E183" t="s">
        <v>16</v>
      </c>
      <c r="F183" s="21">
        <v>599</v>
      </c>
      <c r="G183" s="21">
        <v>299</v>
      </c>
      <c r="H183" s="22">
        <v>133.9</v>
      </c>
      <c r="I183" s="24">
        <v>80206.1</v>
      </c>
      <c r="J183" s="24">
        <v>40036.1</v>
      </c>
      <c r="K183" s="18">
        <f t="shared" si="4"/>
        <v>40170</v>
      </c>
      <c r="L183" s="19">
        <f t="shared" si="5"/>
        <v>0.499165275459098</v>
      </c>
    </row>
    <row r="184" spans="1:12">
      <c r="A184" s="10">
        <v>10192</v>
      </c>
      <c r="B184" s="20">
        <v>44883</v>
      </c>
      <c r="C184" t="s">
        <v>17</v>
      </c>
      <c r="D184" t="s">
        <v>21</v>
      </c>
      <c r="E184" s="14" t="s">
        <v>14</v>
      </c>
      <c r="F184" s="21">
        <v>599</v>
      </c>
      <c r="G184" s="21">
        <v>299</v>
      </c>
      <c r="H184" s="22">
        <v>288.6</v>
      </c>
      <c r="I184" s="24">
        <v>172871.4</v>
      </c>
      <c r="J184" s="24">
        <v>86291.4</v>
      </c>
      <c r="K184" s="18">
        <f t="shared" si="4"/>
        <v>86580</v>
      </c>
      <c r="L184" s="19">
        <f t="shared" si="5"/>
        <v>0.499165275459099</v>
      </c>
    </row>
    <row r="185" spans="1:12">
      <c r="A185" s="10">
        <v>10193</v>
      </c>
      <c r="B185" s="20">
        <v>44885</v>
      </c>
      <c r="C185" t="s">
        <v>12</v>
      </c>
      <c r="D185" t="s">
        <v>15</v>
      </c>
      <c r="E185" t="s">
        <v>16</v>
      </c>
      <c r="F185" s="21">
        <v>199</v>
      </c>
      <c r="G185" s="21">
        <v>39</v>
      </c>
      <c r="H185" s="22">
        <v>200.1</v>
      </c>
      <c r="I185" s="24">
        <v>39819.9</v>
      </c>
      <c r="J185" s="24">
        <v>7803.9</v>
      </c>
      <c r="K185" s="18">
        <f t="shared" si="4"/>
        <v>32016</v>
      </c>
      <c r="L185" s="19">
        <f t="shared" si="5"/>
        <v>0.195979899497487</v>
      </c>
    </row>
    <row r="186" spans="1:12">
      <c r="A186" s="10">
        <v>10194</v>
      </c>
      <c r="B186" s="20">
        <v>44879</v>
      </c>
      <c r="C186" t="s">
        <v>12</v>
      </c>
      <c r="D186" t="s">
        <v>13</v>
      </c>
      <c r="E186" t="s">
        <v>19</v>
      </c>
      <c r="F186" s="23">
        <v>1099</v>
      </c>
      <c r="G186" s="23">
        <v>289</v>
      </c>
      <c r="H186" s="22">
        <v>213.8</v>
      </c>
      <c r="I186" s="24">
        <v>234966.2</v>
      </c>
      <c r="J186" s="24">
        <v>61788.2</v>
      </c>
      <c r="K186" s="18">
        <f t="shared" si="4"/>
        <v>173178</v>
      </c>
      <c r="L186" s="19">
        <f t="shared" si="5"/>
        <v>0.262966333030027</v>
      </c>
    </row>
    <row r="187" spans="1:12">
      <c r="A187" s="10">
        <v>10195</v>
      </c>
      <c r="B187" s="20">
        <v>44881</v>
      </c>
      <c r="C187" t="s">
        <v>24</v>
      </c>
      <c r="D187" t="s">
        <v>21</v>
      </c>
      <c r="E187" t="s">
        <v>22</v>
      </c>
      <c r="F187" s="21">
        <v>1299</v>
      </c>
      <c r="G187" s="21">
        <v>459</v>
      </c>
      <c r="H187" s="22">
        <v>124</v>
      </c>
      <c r="I187" s="24">
        <v>161076</v>
      </c>
      <c r="J187" s="24">
        <v>56916</v>
      </c>
      <c r="K187" s="18">
        <f t="shared" si="4"/>
        <v>104160</v>
      </c>
      <c r="L187" s="19">
        <f t="shared" si="5"/>
        <v>0.353348729792148</v>
      </c>
    </row>
    <row r="188" spans="1:12">
      <c r="A188" s="10">
        <v>10196</v>
      </c>
      <c r="B188" s="20">
        <v>44883</v>
      </c>
      <c r="C188" t="s">
        <v>23</v>
      </c>
      <c r="D188" t="s">
        <v>13</v>
      </c>
      <c r="E188" t="s">
        <v>16</v>
      </c>
      <c r="F188" s="21">
        <v>199</v>
      </c>
      <c r="G188" s="21">
        <v>39</v>
      </c>
      <c r="H188" s="22">
        <v>285.1</v>
      </c>
      <c r="I188" s="24">
        <v>56734.9</v>
      </c>
      <c r="J188" s="24">
        <v>11118.9</v>
      </c>
      <c r="K188" s="18">
        <f t="shared" si="4"/>
        <v>45616</v>
      </c>
      <c r="L188" s="19">
        <f t="shared" si="5"/>
        <v>0.195979899497487</v>
      </c>
    </row>
    <row r="189" spans="1:12">
      <c r="A189" s="10">
        <v>10197</v>
      </c>
      <c r="B189" s="20">
        <v>44885</v>
      </c>
      <c r="C189" t="s">
        <v>23</v>
      </c>
      <c r="D189" t="s">
        <v>13</v>
      </c>
      <c r="E189" t="s">
        <v>16</v>
      </c>
      <c r="F189" s="21">
        <v>199</v>
      </c>
      <c r="G189" s="21">
        <v>39</v>
      </c>
      <c r="H189" s="22">
        <v>228.9</v>
      </c>
      <c r="I189" s="24">
        <v>45551.1</v>
      </c>
      <c r="J189" s="24">
        <v>8927.1</v>
      </c>
      <c r="K189" s="18">
        <f t="shared" si="4"/>
        <v>36624</v>
      </c>
      <c r="L189" s="19">
        <f t="shared" si="5"/>
        <v>0.195979899497487</v>
      </c>
    </row>
    <row r="190" spans="1:12">
      <c r="A190" s="10">
        <v>10198</v>
      </c>
      <c r="B190" s="20">
        <v>44887</v>
      </c>
      <c r="C190" t="s">
        <v>24</v>
      </c>
      <c r="D190" t="s">
        <v>13</v>
      </c>
      <c r="E190" t="s">
        <v>22</v>
      </c>
      <c r="F190" s="21">
        <v>199</v>
      </c>
      <c r="G190" s="21">
        <v>39</v>
      </c>
      <c r="H190" s="22">
        <v>361</v>
      </c>
      <c r="I190" s="24">
        <v>71839</v>
      </c>
      <c r="J190" s="24">
        <v>14079</v>
      </c>
      <c r="K190" s="18">
        <f t="shared" si="4"/>
        <v>57760</v>
      </c>
      <c r="L190" s="19">
        <f t="shared" si="5"/>
        <v>0.195979899497487</v>
      </c>
    </row>
    <row r="191" spans="1:12">
      <c r="A191" s="10">
        <v>10199</v>
      </c>
      <c r="B191" s="20">
        <v>44889</v>
      </c>
      <c r="C191" t="s">
        <v>24</v>
      </c>
      <c r="D191" t="s">
        <v>13</v>
      </c>
      <c r="E191" t="s">
        <v>16</v>
      </c>
      <c r="F191" s="21">
        <v>1099</v>
      </c>
      <c r="G191" s="21">
        <v>289</v>
      </c>
      <c r="H191" s="22">
        <v>425.7</v>
      </c>
      <c r="I191" s="24">
        <v>467844.3</v>
      </c>
      <c r="J191" s="24">
        <v>123027.3</v>
      </c>
      <c r="K191" s="18">
        <f t="shared" si="4"/>
        <v>344817</v>
      </c>
      <c r="L191" s="19">
        <f t="shared" si="5"/>
        <v>0.262966333030027</v>
      </c>
    </row>
    <row r="192" spans="1:12">
      <c r="A192" s="10">
        <v>10200</v>
      </c>
      <c r="B192" s="20">
        <v>44909</v>
      </c>
      <c r="C192" t="s">
        <v>24</v>
      </c>
      <c r="D192" t="s">
        <v>21</v>
      </c>
      <c r="E192" s="14" t="s">
        <v>14</v>
      </c>
      <c r="F192" s="21">
        <v>199</v>
      </c>
      <c r="G192" s="21">
        <v>39</v>
      </c>
      <c r="H192" s="22">
        <v>242.1</v>
      </c>
      <c r="I192" s="24">
        <v>48177.9</v>
      </c>
      <c r="J192" s="24">
        <v>9441.9</v>
      </c>
      <c r="K192" s="18">
        <f t="shared" si="4"/>
        <v>38736</v>
      </c>
      <c r="L192" s="19">
        <f t="shared" si="5"/>
        <v>0.195979899497487</v>
      </c>
    </row>
    <row r="193" spans="1:12">
      <c r="A193" s="10">
        <v>10201</v>
      </c>
      <c r="B193" s="20">
        <v>44911</v>
      </c>
      <c r="C193" t="s">
        <v>20</v>
      </c>
      <c r="D193" t="s">
        <v>21</v>
      </c>
      <c r="E193" t="s">
        <v>16</v>
      </c>
      <c r="F193" s="21">
        <v>599</v>
      </c>
      <c r="G193" s="21">
        <v>299</v>
      </c>
      <c r="H193" s="22">
        <v>133.9</v>
      </c>
      <c r="I193" s="24">
        <v>80206.1</v>
      </c>
      <c r="J193" s="24">
        <v>40036.1</v>
      </c>
      <c r="K193" s="18">
        <f t="shared" si="4"/>
        <v>40170</v>
      </c>
      <c r="L193" s="19">
        <f t="shared" si="5"/>
        <v>0.499165275459098</v>
      </c>
    </row>
    <row r="194" spans="1:12">
      <c r="A194" s="10">
        <v>10202</v>
      </c>
      <c r="B194" s="20">
        <v>44913</v>
      </c>
      <c r="C194" t="s">
        <v>17</v>
      </c>
      <c r="D194" t="s">
        <v>21</v>
      </c>
      <c r="E194" s="14" t="s">
        <v>14</v>
      </c>
      <c r="F194" s="21">
        <v>599</v>
      </c>
      <c r="G194" s="21">
        <v>299</v>
      </c>
      <c r="H194" s="22">
        <v>288.6</v>
      </c>
      <c r="I194" s="24">
        <v>172871.4</v>
      </c>
      <c r="J194" s="24">
        <v>86291.4</v>
      </c>
      <c r="K194" s="18">
        <f t="shared" si="4"/>
        <v>86580</v>
      </c>
      <c r="L194" s="19">
        <f t="shared" si="5"/>
        <v>0.499165275459099</v>
      </c>
    </row>
    <row r="195" spans="1:12">
      <c r="A195" s="10">
        <v>10203</v>
      </c>
      <c r="B195" s="20">
        <v>44915</v>
      </c>
      <c r="C195" t="s">
        <v>12</v>
      </c>
      <c r="D195" t="s">
        <v>15</v>
      </c>
      <c r="E195" t="s">
        <v>16</v>
      </c>
      <c r="F195" s="21">
        <v>199</v>
      </c>
      <c r="G195" s="21">
        <v>39</v>
      </c>
      <c r="H195" s="22">
        <v>200.1</v>
      </c>
      <c r="I195" s="24">
        <v>39819.9</v>
      </c>
      <c r="J195" s="24">
        <v>7803.9</v>
      </c>
      <c r="K195" s="18">
        <f t="shared" ref="K195:K200" si="6">I195-J195</f>
        <v>32016</v>
      </c>
      <c r="L195" s="19">
        <f t="shared" ref="L195:L200" si="7">J195/I195</f>
        <v>0.195979899497487</v>
      </c>
    </row>
    <row r="196" spans="1:12">
      <c r="A196" s="10">
        <v>10204</v>
      </c>
      <c r="B196" s="20">
        <v>44917</v>
      </c>
      <c r="C196" t="s">
        <v>12</v>
      </c>
      <c r="D196" t="s">
        <v>13</v>
      </c>
      <c r="E196" t="s">
        <v>19</v>
      </c>
      <c r="F196" s="23">
        <v>1099</v>
      </c>
      <c r="G196" s="23">
        <v>289</v>
      </c>
      <c r="H196" s="22">
        <v>213.8</v>
      </c>
      <c r="I196" s="24">
        <v>234966.2</v>
      </c>
      <c r="J196" s="24">
        <v>61788.2</v>
      </c>
      <c r="K196" s="18">
        <f t="shared" si="6"/>
        <v>173178</v>
      </c>
      <c r="L196" s="19">
        <f t="shared" si="7"/>
        <v>0.262966333030027</v>
      </c>
    </row>
    <row r="197" spans="1:12">
      <c r="A197" s="10">
        <v>10205</v>
      </c>
      <c r="B197" s="20">
        <v>44919</v>
      </c>
      <c r="C197" t="s">
        <v>24</v>
      </c>
      <c r="D197" t="s">
        <v>21</v>
      </c>
      <c r="E197" t="s">
        <v>22</v>
      </c>
      <c r="F197" s="21">
        <v>1299</v>
      </c>
      <c r="G197" s="21">
        <v>459</v>
      </c>
      <c r="H197" s="22">
        <v>124</v>
      </c>
      <c r="I197" s="24">
        <v>161076</v>
      </c>
      <c r="J197" s="24">
        <v>56916</v>
      </c>
      <c r="K197" s="18">
        <f t="shared" si="6"/>
        <v>104160</v>
      </c>
      <c r="L197" s="19">
        <f t="shared" si="7"/>
        <v>0.353348729792148</v>
      </c>
    </row>
    <row r="198" spans="1:12">
      <c r="A198" s="10">
        <v>10206</v>
      </c>
      <c r="B198" s="20">
        <v>44921</v>
      </c>
      <c r="C198" t="s">
        <v>23</v>
      </c>
      <c r="D198" t="s">
        <v>13</v>
      </c>
      <c r="E198" t="s">
        <v>16</v>
      </c>
      <c r="F198" s="21">
        <v>199</v>
      </c>
      <c r="G198" s="21">
        <v>39</v>
      </c>
      <c r="H198" s="22">
        <v>285.1</v>
      </c>
      <c r="I198" s="24">
        <v>56734.9</v>
      </c>
      <c r="J198" s="24">
        <v>11118.9</v>
      </c>
      <c r="K198" s="18">
        <f t="shared" si="6"/>
        <v>45616</v>
      </c>
      <c r="L198" s="19">
        <f t="shared" si="7"/>
        <v>0.195979899497487</v>
      </c>
    </row>
    <row r="199" spans="1:12">
      <c r="A199" s="10">
        <v>10207</v>
      </c>
      <c r="B199" s="20">
        <v>44923</v>
      </c>
      <c r="C199" t="s">
        <v>23</v>
      </c>
      <c r="D199" t="s">
        <v>13</v>
      </c>
      <c r="E199" t="s">
        <v>16</v>
      </c>
      <c r="F199" s="21">
        <v>199</v>
      </c>
      <c r="G199" s="21">
        <v>39</v>
      </c>
      <c r="H199" s="22">
        <v>228.9</v>
      </c>
      <c r="I199" s="24">
        <v>45551.1</v>
      </c>
      <c r="J199" s="24">
        <v>8927.1</v>
      </c>
      <c r="K199" s="18">
        <f t="shared" si="6"/>
        <v>36624</v>
      </c>
      <c r="L199" s="19">
        <f t="shared" si="7"/>
        <v>0.195979899497487</v>
      </c>
    </row>
    <row r="200" spans="1:12">
      <c r="A200" s="10">
        <v>10208</v>
      </c>
      <c r="B200" s="20">
        <v>44925</v>
      </c>
      <c r="C200" t="s">
        <v>24</v>
      </c>
      <c r="D200" t="s">
        <v>13</v>
      </c>
      <c r="E200" t="s">
        <v>22</v>
      </c>
      <c r="F200" s="21">
        <v>199</v>
      </c>
      <c r="G200" s="21">
        <v>39</v>
      </c>
      <c r="H200" s="22">
        <v>361</v>
      </c>
      <c r="I200" s="24">
        <v>71839</v>
      </c>
      <c r="J200" s="24">
        <v>14079</v>
      </c>
      <c r="K200" s="18">
        <f t="shared" si="6"/>
        <v>57760</v>
      </c>
      <c r="L200" s="19">
        <f t="shared" si="7"/>
        <v>0.195979899497487</v>
      </c>
    </row>
    <row r="201" spans="2:2">
      <c r="B201" s="25"/>
    </row>
    <row r="202" spans="2:2">
      <c r="B202" s="25"/>
    </row>
    <row r="203" spans="2:2">
      <c r="B203" s="25"/>
    </row>
    <row r="204" spans="2:2">
      <c r="B204" s="25"/>
    </row>
    <row r="205" spans="2:2">
      <c r="B205" s="25"/>
    </row>
    <row r="206" spans="2:2">
      <c r="B206" s="25"/>
    </row>
    <row r="207" spans="2:2">
      <c r="B207" s="25"/>
    </row>
    <row r="208" spans="2:2">
      <c r="B208" s="25"/>
    </row>
    <row r="209" spans="2:2">
      <c r="B209" s="25"/>
    </row>
    <row r="210" spans="2:2">
      <c r="B210" s="25"/>
    </row>
    <row r="211" spans="2:2">
      <c r="B211" s="25"/>
    </row>
    <row r="212" spans="2:2">
      <c r="B212" s="25"/>
    </row>
    <row r="213" spans="2:2">
      <c r="B213" s="25"/>
    </row>
    <row r="214" spans="2:2">
      <c r="B214" s="25"/>
    </row>
    <row r="215" spans="2:2">
      <c r="B215" s="25"/>
    </row>
    <row r="216" spans="2:2">
      <c r="B216" s="25"/>
    </row>
    <row r="217" spans="2:2">
      <c r="B217" s="2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"/>
  <sheetViews>
    <sheetView workbookViewId="0">
      <selection activeCell="A1" sqref="A1:M200"/>
    </sheetView>
  </sheetViews>
  <sheetFormatPr defaultColWidth="9" defaultRowHeight="15.75"/>
  <cols>
    <col min="1" max="1" width="13.25" customWidth="1"/>
    <col min="2" max="2" width="11" style="5"/>
    <col min="3" max="3" width="16.625" customWidth="1"/>
    <col min="4" max="4" width="12.5" customWidth="1"/>
    <col min="5" max="5" width="10.25" customWidth="1"/>
    <col min="6" max="6" width="17.5" customWidth="1"/>
    <col min="7" max="7" width="17" style="4" customWidth="1"/>
    <col min="8" max="8" width="16.5" style="4" customWidth="1"/>
    <col min="9" max="9" width="15.25" style="6" customWidth="1"/>
    <col min="10" max="10" width="14.625" style="4" customWidth="1"/>
    <col min="11" max="11" width="12.625" style="4" customWidth="1"/>
    <col min="12" max="12" width="12.25" customWidth="1"/>
    <col min="13" max="13" width="23.75" customWidth="1"/>
  </cols>
  <sheetData>
    <row r="1" spans="1:13">
      <c r="A1" s="7" t="s">
        <v>0</v>
      </c>
      <c r="B1" s="8" t="s">
        <v>1</v>
      </c>
      <c r="C1" s="7" t="s">
        <v>25</v>
      </c>
      <c r="D1" s="7" t="s">
        <v>2</v>
      </c>
      <c r="E1" s="7" t="s">
        <v>3</v>
      </c>
      <c r="F1" s="7" t="s">
        <v>4</v>
      </c>
      <c r="G1" s="9" t="s">
        <v>5</v>
      </c>
      <c r="H1" s="9" t="s">
        <v>6</v>
      </c>
      <c r="I1" s="15" t="s">
        <v>7</v>
      </c>
      <c r="J1" s="9" t="s">
        <v>8</v>
      </c>
      <c r="K1" s="9" t="s">
        <v>9</v>
      </c>
      <c r="L1" s="7" t="s">
        <v>10</v>
      </c>
      <c r="M1" s="16" t="s">
        <v>11</v>
      </c>
    </row>
    <row r="2" spans="1:13">
      <c r="A2" s="10">
        <v>10010</v>
      </c>
      <c r="B2" s="11">
        <v>44562</v>
      </c>
      <c r="C2" t="str">
        <f>TEXT(B2,"MMM")</f>
        <v>Jan</v>
      </c>
      <c r="D2" t="s">
        <v>12</v>
      </c>
      <c r="E2" t="s">
        <v>13</v>
      </c>
      <c r="F2" t="s">
        <v>14</v>
      </c>
      <c r="G2" s="12">
        <v>1099</v>
      </c>
      <c r="H2" s="12">
        <v>289</v>
      </c>
      <c r="I2" s="17">
        <v>313.5</v>
      </c>
      <c r="J2" s="13">
        <v>344536.5</v>
      </c>
      <c r="K2" s="13">
        <v>90601.5</v>
      </c>
      <c r="L2" s="18">
        <f t="shared" ref="L2:L65" si="0">J2-K2</f>
        <v>253935</v>
      </c>
      <c r="M2" s="19">
        <f t="shared" ref="M2:M65" si="1">K2/J2</f>
        <v>0.262966333030027</v>
      </c>
    </row>
    <row r="3" spans="1:13">
      <c r="A3" s="10">
        <v>10011</v>
      </c>
      <c r="B3" s="11">
        <v>44562</v>
      </c>
      <c r="C3" t="str">
        <f t="shared" ref="C3:C34" si="2">TEXT(B3,"MMM")</f>
        <v>Jan</v>
      </c>
      <c r="D3" t="s">
        <v>12</v>
      </c>
      <c r="E3" t="s">
        <v>15</v>
      </c>
      <c r="F3" t="s">
        <v>16</v>
      </c>
      <c r="G3" s="12">
        <v>1099</v>
      </c>
      <c r="H3" s="12">
        <v>289</v>
      </c>
      <c r="I3" s="17">
        <v>300.7</v>
      </c>
      <c r="J3" s="13">
        <v>330469.3</v>
      </c>
      <c r="K3" s="13">
        <v>86902.3</v>
      </c>
      <c r="L3" s="18">
        <f t="shared" si="0"/>
        <v>243567</v>
      </c>
      <c r="M3" s="19">
        <f t="shared" si="1"/>
        <v>0.262966333030027</v>
      </c>
    </row>
    <row r="4" spans="1:13">
      <c r="A4" s="10">
        <v>10012</v>
      </c>
      <c r="B4" s="11">
        <v>44562</v>
      </c>
      <c r="C4" t="str">
        <f t="shared" si="2"/>
        <v>Jan</v>
      </c>
      <c r="D4" t="s">
        <v>17</v>
      </c>
      <c r="E4" t="s">
        <v>18</v>
      </c>
      <c r="F4" t="s">
        <v>19</v>
      </c>
      <c r="G4" s="12">
        <v>1299</v>
      </c>
      <c r="H4" s="12">
        <v>459</v>
      </c>
      <c r="I4" s="17">
        <v>482.2</v>
      </c>
      <c r="J4" s="13">
        <v>626377.8</v>
      </c>
      <c r="K4" s="13">
        <v>221329.8</v>
      </c>
      <c r="L4" s="18">
        <f t="shared" si="0"/>
        <v>405048</v>
      </c>
      <c r="M4" s="19">
        <f t="shared" si="1"/>
        <v>0.353348729792148</v>
      </c>
    </row>
    <row r="5" spans="1:13">
      <c r="A5" s="10">
        <v>10013</v>
      </c>
      <c r="B5" s="11">
        <v>44562</v>
      </c>
      <c r="C5" t="str">
        <f t="shared" si="2"/>
        <v>Jan</v>
      </c>
      <c r="D5" t="s">
        <v>20</v>
      </c>
      <c r="E5" t="s">
        <v>21</v>
      </c>
      <c r="F5" t="s">
        <v>22</v>
      </c>
      <c r="G5" s="12">
        <v>599</v>
      </c>
      <c r="H5" s="12">
        <v>299</v>
      </c>
      <c r="I5" s="17">
        <v>109</v>
      </c>
      <c r="J5" s="13">
        <v>65291</v>
      </c>
      <c r="K5" s="13">
        <v>32591</v>
      </c>
      <c r="L5" s="18">
        <f t="shared" si="0"/>
        <v>32700</v>
      </c>
      <c r="M5" s="19">
        <f t="shared" si="1"/>
        <v>0.499165275459099</v>
      </c>
    </row>
    <row r="6" spans="1:13">
      <c r="A6" s="10">
        <v>10014</v>
      </c>
      <c r="B6" s="11">
        <v>44562</v>
      </c>
      <c r="C6" t="str">
        <f t="shared" si="2"/>
        <v>Jan</v>
      </c>
      <c r="D6" t="s">
        <v>23</v>
      </c>
      <c r="E6" t="s">
        <v>21</v>
      </c>
      <c r="F6" t="s">
        <v>19</v>
      </c>
      <c r="G6" s="12">
        <v>449</v>
      </c>
      <c r="H6" s="12">
        <v>159</v>
      </c>
      <c r="I6" s="17">
        <v>450.9</v>
      </c>
      <c r="J6" s="13">
        <v>202454.1</v>
      </c>
      <c r="K6" s="13">
        <v>71693.1</v>
      </c>
      <c r="L6" s="18">
        <f t="shared" si="0"/>
        <v>130761</v>
      </c>
      <c r="M6" s="19">
        <f t="shared" si="1"/>
        <v>0.354120267260579</v>
      </c>
    </row>
    <row r="7" spans="1:13">
      <c r="A7" s="10">
        <v>10015</v>
      </c>
      <c r="B7" s="11">
        <v>44562</v>
      </c>
      <c r="C7" t="str">
        <f t="shared" si="2"/>
        <v>Jan</v>
      </c>
      <c r="D7" t="s">
        <v>24</v>
      </c>
      <c r="E7" t="s">
        <v>21</v>
      </c>
      <c r="F7" t="s">
        <v>19</v>
      </c>
      <c r="G7" s="12">
        <v>199</v>
      </c>
      <c r="H7" s="12">
        <v>39</v>
      </c>
      <c r="I7" s="17">
        <v>270.9</v>
      </c>
      <c r="J7" s="13">
        <v>53909.1</v>
      </c>
      <c r="K7" s="13">
        <v>10565.1</v>
      </c>
      <c r="L7" s="18">
        <f t="shared" si="0"/>
        <v>43344</v>
      </c>
      <c r="M7" s="19">
        <f t="shared" si="1"/>
        <v>0.195979899497487</v>
      </c>
    </row>
    <row r="8" spans="1:13">
      <c r="A8" s="10">
        <v>10016</v>
      </c>
      <c r="B8" s="11">
        <v>44565</v>
      </c>
      <c r="C8" t="str">
        <f t="shared" si="2"/>
        <v>Jan</v>
      </c>
      <c r="D8" t="s">
        <v>24</v>
      </c>
      <c r="E8" t="s">
        <v>21</v>
      </c>
      <c r="F8" t="s">
        <v>14</v>
      </c>
      <c r="G8" s="12">
        <v>199</v>
      </c>
      <c r="H8" s="12">
        <v>39</v>
      </c>
      <c r="I8" s="17">
        <v>443.1</v>
      </c>
      <c r="J8" s="13">
        <v>88176.9</v>
      </c>
      <c r="K8" s="13">
        <v>17280.9</v>
      </c>
      <c r="L8" s="18">
        <f t="shared" si="0"/>
        <v>70896</v>
      </c>
      <c r="M8" s="19">
        <f t="shared" si="1"/>
        <v>0.195979899497487</v>
      </c>
    </row>
    <row r="9" spans="1:13">
      <c r="A9" s="10">
        <v>10017</v>
      </c>
      <c r="B9" s="11">
        <v>44568</v>
      </c>
      <c r="C9" t="str">
        <f t="shared" si="2"/>
        <v>Jan</v>
      </c>
      <c r="D9" t="s">
        <v>24</v>
      </c>
      <c r="E9" t="s">
        <v>13</v>
      </c>
      <c r="F9" t="s">
        <v>19</v>
      </c>
      <c r="G9" s="12">
        <v>199</v>
      </c>
      <c r="H9" s="12">
        <v>39</v>
      </c>
      <c r="I9" s="17">
        <v>459.3</v>
      </c>
      <c r="J9" s="13">
        <v>91400.7</v>
      </c>
      <c r="K9" s="13">
        <v>17912.7</v>
      </c>
      <c r="L9" s="18">
        <f t="shared" si="0"/>
        <v>73488</v>
      </c>
      <c r="M9" s="19">
        <f t="shared" si="1"/>
        <v>0.195979899497487</v>
      </c>
    </row>
    <row r="10" spans="1:13">
      <c r="A10" s="10">
        <v>10018</v>
      </c>
      <c r="B10" s="11">
        <v>44571</v>
      </c>
      <c r="C10" t="str">
        <f t="shared" si="2"/>
        <v>Jan</v>
      </c>
      <c r="D10" t="s">
        <v>12</v>
      </c>
      <c r="E10" t="s">
        <v>15</v>
      </c>
      <c r="F10" t="s">
        <v>19</v>
      </c>
      <c r="G10" s="13">
        <v>1099</v>
      </c>
      <c r="H10" s="13">
        <v>289</v>
      </c>
      <c r="I10" s="17">
        <v>222.5</v>
      </c>
      <c r="J10" s="13">
        <v>244527.5</v>
      </c>
      <c r="K10" s="13">
        <v>64302.5</v>
      </c>
      <c r="L10" s="18">
        <f t="shared" si="0"/>
        <v>180225</v>
      </c>
      <c r="M10" s="19">
        <f t="shared" si="1"/>
        <v>0.262966333030027</v>
      </c>
    </row>
    <row r="11" spans="1:13">
      <c r="A11" s="10">
        <v>10019</v>
      </c>
      <c r="B11" s="11">
        <v>44574</v>
      </c>
      <c r="C11" t="str">
        <f t="shared" si="2"/>
        <v>Jan</v>
      </c>
      <c r="D11" t="s">
        <v>17</v>
      </c>
      <c r="E11" t="s">
        <v>18</v>
      </c>
      <c r="F11" s="14" t="s">
        <v>14</v>
      </c>
      <c r="G11" s="12">
        <v>1299</v>
      </c>
      <c r="H11" s="12">
        <v>459</v>
      </c>
      <c r="I11" s="17">
        <v>479.4</v>
      </c>
      <c r="J11" s="13">
        <v>622740.6</v>
      </c>
      <c r="K11" s="13">
        <v>220044.6</v>
      </c>
      <c r="L11" s="18">
        <f t="shared" si="0"/>
        <v>402696</v>
      </c>
      <c r="M11" s="19">
        <f t="shared" si="1"/>
        <v>0.353348729792148</v>
      </c>
    </row>
    <row r="12" spans="1:13">
      <c r="A12" s="10">
        <v>10020</v>
      </c>
      <c r="B12" s="11">
        <v>44577</v>
      </c>
      <c r="C12" t="str">
        <f t="shared" si="2"/>
        <v>Jan</v>
      </c>
      <c r="D12" t="s">
        <v>17</v>
      </c>
      <c r="E12" t="s">
        <v>18</v>
      </c>
      <c r="F12" s="14" t="s">
        <v>14</v>
      </c>
      <c r="G12" s="12">
        <v>1299</v>
      </c>
      <c r="H12" s="12">
        <v>459</v>
      </c>
      <c r="I12" s="17">
        <v>301.2</v>
      </c>
      <c r="J12" s="13">
        <v>391258.8</v>
      </c>
      <c r="K12" s="13">
        <v>138250.8</v>
      </c>
      <c r="L12" s="18">
        <f t="shared" si="0"/>
        <v>253008</v>
      </c>
      <c r="M12" s="19">
        <f t="shared" si="1"/>
        <v>0.353348729792148</v>
      </c>
    </row>
    <row r="13" spans="1:13">
      <c r="A13" s="10">
        <v>10021</v>
      </c>
      <c r="B13" s="11">
        <v>44580</v>
      </c>
      <c r="C13" t="str">
        <f t="shared" si="2"/>
        <v>Jan</v>
      </c>
      <c r="D13" t="s">
        <v>24</v>
      </c>
      <c r="E13" t="s">
        <v>18</v>
      </c>
      <c r="F13" s="14" t="s">
        <v>14</v>
      </c>
      <c r="G13" s="12">
        <v>199</v>
      </c>
      <c r="H13" s="12">
        <v>39</v>
      </c>
      <c r="I13" s="17">
        <v>315.1</v>
      </c>
      <c r="J13" s="13">
        <v>62704.9</v>
      </c>
      <c r="K13" s="13">
        <v>12288.9</v>
      </c>
      <c r="L13" s="18">
        <f t="shared" si="0"/>
        <v>50416</v>
      </c>
      <c r="M13" s="19">
        <f t="shared" si="1"/>
        <v>0.195979899497487</v>
      </c>
    </row>
    <row r="14" spans="1:13">
      <c r="A14" s="10">
        <v>10022</v>
      </c>
      <c r="B14" s="11">
        <v>44583</v>
      </c>
      <c r="C14" t="str">
        <f t="shared" si="2"/>
        <v>Jan</v>
      </c>
      <c r="D14" t="s">
        <v>12</v>
      </c>
      <c r="E14" t="s">
        <v>13</v>
      </c>
      <c r="F14" s="14" t="s">
        <v>14</v>
      </c>
      <c r="G14" s="13">
        <v>1099</v>
      </c>
      <c r="H14" s="13">
        <v>289</v>
      </c>
      <c r="I14" s="17">
        <v>142.4</v>
      </c>
      <c r="J14" s="13">
        <v>156497.6</v>
      </c>
      <c r="K14" s="13">
        <v>41153.6</v>
      </c>
      <c r="L14" s="18">
        <f t="shared" si="0"/>
        <v>115344</v>
      </c>
      <c r="M14" s="19">
        <f t="shared" si="1"/>
        <v>0.262966333030027</v>
      </c>
    </row>
    <row r="15" spans="1:13">
      <c r="A15" s="10">
        <v>10023</v>
      </c>
      <c r="B15" s="11">
        <v>44586</v>
      </c>
      <c r="C15" t="str">
        <f t="shared" si="2"/>
        <v>Jan</v>
      </c>
      <c r="D15" t="s">
        <v>23</v>
      </c>
      <c r="E15" t="s">
        <v>15</v>
      </c>
      <c r="F15" s="14" t="s">
        <v>14</v>
      </c>
      <c r="G15" s="12">
        <v>449</v>
      </c>
      <c r="H15" s="12">
        <v>159</v>
      </c>
      <c r="I15" s="17">
        <v>311</v>
      </c>
      <c r="J15" s="13">
        <v>139639</v>
      </c>
      <c r="K15" s="13">
        <v>49449</v>
      </c>
      <c r="L15" s="18">
        <f t="shared" si="0"/>
        <v>90190</v>
      </c>
      <c r="M15" s="19">
        <f t="shared" si="1"/>
        <v>0.354120267260579</v>
      </c>
    </row>
    <row r="16" spans="1:13">
      <c r="A16" s="10">
        <v>10024</v>
      </c>
      <c r="B16" s="11">
        <v>44596</v>
      </c>
      <c r="C16" t="str">
        <f t="shared" si="2"/>
        <v>Feb</v>
      </c>
      <c r="D16" t="s">
        <v>20</v>
      </c>
      <c r="E16" t="s">
        <v>18</v>
      </c>
      <c r="F16" s="14" t="s">
        <v>14</v>
      </c>
      <c r="G16" s="12">
        <v>599</v>
      </c>
      <c r="H16" s="12">
        <v>299</v>
      </c>
      <c r="I16" s="17">
        <v>378.2</v>
      </c>
      <c r="J16" s="13">
        <v>226541.8</v>
      </c>
      <c r="K16" s="13">
        <v>113081.8</v>
      </c>
      <c r="L16" s="18">
        <f t="shared" si="0"/>
        <v>113460</v>
      </c>
      <c r="M16" s="19">
        <f t="shared" si="1"/>
        <v>0.499165275459099</v>
      </c>
    </row>
    <row r="17" spans="1:13">
      <c r="A17" s="10">
        <v>10025</v>
      </c>
      <c r="B17" s="11">
        <v>44597</v>
      </c>
      <c r="C17" t="str">
        <f t="shared" si="2"/>
        <v>Feb</v>
      </c>
      <c r="D17" t="s">
        <v>23</v>
      </c>
      <c r="E17" t="s">
        <v>18</v>
      </c>
      <c r="F17" t="s">
        <v>22</v>
      </c>
      <c r="G17" s="12">
        <v>449</v>
      </c>
      <c r="H17" s="12">
        <v>159</v>
      </c>
      <c r="I17" s="17">
        <v>291.9</v>
      </c>
      <c r="J17" s="13">
        <v>131063.1</v>
      </c>
      <c r="K17" s="13">
        <v>46412.1</v>
      </c>
      <c r="L17" s="18">
        <f t="shared" si="0"/>
        <v>84651</v>
      </c>
      <c r="M17" s="19">
        <f t="shared" si="1"/>
        <v>0.354120267260579</v>
      </c>
    </row>
    <row r="18" spans="1:13">
      <c r="A18" s="10">
        <v>10026</v>
      </c>
      <c r="B18" s="11">
        <v>44598</v>
      </c>
      <c r="C18" t="str">
        <f t="shared" si="2"/>
        <v>Feb</v>
      </c>
      <c r="D18" t="s">
        <v>12</v>
      </c>
      <c r="E18" t="s">
        <v>18</v>
      </c>
      <c r="F18" t="s">
        <v>22</v>
      </c>
      <c r="G18" s="13">
        <v>1099</v>
      </c>
      <c r="H18" s="13">
        <v>289</v>
      </c>
      <c r="I18" s="17">
        <v>479.3</v>
      </c>
      <c r="J18" s="13">
        <v>526750.7</v>
      </c>
      <c r="K18" s="13">
        <v>138517.7</v>
      </c>
      <c r="L18" s="18">
        <f t="shared" si="0"/>
        <v>388233</v>
      </c>
      <c r="M18" s="19">
        <f t="shared" si="1"/>
        <v>0.262966333030027</v>
      </c>
    </row>
    <row r="19" spans="1:13">
      <c r="A19" s="10">
        <v>10027</v>
      </c>
      <c r="B19" s="11">
        <v>44599</v>
      </c>
      <c r="C19" t="str">
        <f t="shared" si="2"/>
        <v>Feb</v>
      </c>
      <c r="D19" t="s">
        <v>23</v>
      </c>
      <c r="E19" t="s">
        <v>13</v>
      </c>
      <c r="F19" t="s">
        <v>16</v>
      </c>
      <c r="G19" s="12">
        <v>449</v>
      </c>
      <c r="H19" s="12">
        <v>159</v>
      </c>
      <c r="I19" s="17">
        <v>115.1</v>
      </c>
      <c r="J19" s="13">
        <v>51679.9</v>
      </c>
      <c r="K19" s="13">
        <v>18300.9</v>
      </c>
      <c r="L19" s="18">
        <f t="shared" si="0"/>
        <v>33379</v>
      </c>
      <c r="M19" s="19">
        <f t="shared" si="1"/>
        <v>0.354120267260579</v>
      </c>
    </row>
    <row r="20" spans="1:13">
      <c r="A20" s="10">
        <v>10028</v>
      </c>
      <c r="B20" s="11">
        <v>44600</v>
      </c>
      <c r="C20" t="str">
        <f t="shared" si="2"/>
        <v>Feb</v>
      </c>
      <c r="D20" t="s">
        <v>12</v>
      </c>
      <c r="E20" t="s">
        <v>18</v>
      </c>
      <c r="F20" t="s">
        <v>22</v>
      </c>
      <c r="G20" s="13">
        <v>1099</v>
      </c>
      <c r="H20" s="13">
        <v>289</v>
      </c>
      <c r="I20" s="17">
        <v>347.8</v>
      </c>
      <c r="J20" s="13">
        <v>382232.2</v>
      </c>
      <c r="K20" s="13">
        <v>100514.2</v>
      </c>
      <c r="L20" s="18">
        <f t="shared" si="0"/>
        <v>281718</v>
      </c>
      <c r="M20" s="19">
        <f t="shared" si="1"/>
        <v>0.262966333030027</v>
      </c>
    </row>
    <row r="21" spans="1:13">
      <c r="A21" s="10">
        <v>10029</v>
      </c>
      <c r="B21" s="11">
        <v>44600</v>
      </c>
      <c r="C21" t="str">
        <f t="shared" si="2"/>
        <v>Feb</v>
      </c>
      <c r="D21" t="s">
        <v>17</v>
      </c>
      <c r="E21" t="s">
        <v>18</v>
      </c>
      <c r="F21" t="s">
        <v>22</v>
      </c>
      <c r="G21" s="12">
        <v>1299</v>
      </c>
      <c r="H21" s="12">
        <v>459</v>
      </c>
      <c r="I21" s="17">
        <v>222.4</v>
      </c>
      <c r="J21" s="13">
        <v>288897.6</v>
      </c>
      <c r="K21" s="13">
        <v>102081.6</v>
      </c>
      <c r="L21" s="18">
        <f t="shared" si="0"/>
        <v>186816</v>
      </c>
      <c r="M21" s="19">
        <f t="shared" si="1"/>
        <v>0.353348729792148</v>
      </c>
    </row>
    <row r="22" spans="1:13">
      <c r="A22" s="10">
        <v>10030</v>
      </c>
      <c r="B22" s="11">
        <v>44600</v>
      </c>
      <c r="C22" t="str">
        <f t="shared" si="2"/>
        <v>Feb</v>
      </c>
      <c r="D22" t="s">
        <v>12</v>
      </c>
      <c r="E22" t="s">
        <v>18</v>
      </c>
      <c r="F22" t="s">
        <v>19</v>
      </c>
      <c r="G22" s="13">
        <v>1099</v>
      </c>
      <c r="H22" s="13">
        <v>289</v>
      </c>
      <c r="I22" s="17">
        <v>276.5</v>
      </c>
      <c r="J22" s="13">
        <v>303873.5</v>
      </c>
      <c r="K22" s="13">
        <v>79908.5</v>
      </c>
      <c r="L22" s="18">
        <f t="shared" si="0"/>
        <v>223965</v>
      </c>
      <c r="M22" s="19">
        <f t="shared" si="1"/>
        <v>0.262966333030027</v>
      </c>
    </row>
    <row r="23" spans="1:13">
      <c r="A23" s="10">
        <v>10031</v>
      </c>
      <c r="B23" s="11">
        <v>44600</v>
      </c>
      <c r="C23" t="str">
        <f t="shared" si="2"/>
        <v>Feb</v>
      </c>
      <c r="D23" t="s">
        <v>12</v>
      </c>
      <c r="E23" t="s">
        <v>13</v>
      </c>
      <c r="F23" t="s">
        <v>19</v>
      </c>
      <c r="G23" s="13">
        <v>1099</v>
      </c>
      <c r="H23" s="13">
        <v>289</v>
      </c>
      <c r="I23" s="17">
        <v>151.2</v>
      </c>
      <c r="J23" s="13">
        <v>166168.8</v>
      </c>
      <c r="K23" s="13">
        <v>43696.8</v>
      </c>
      <c r="L23" s="18">
        <f t="shared" si="0"/>
        <v>122472</v>
      </c>
      <c r="M23" s="19">
        <f t="shared" si="1"/>
        <v>0.262966333030027</v>
      </c>
    </row>
    <row r="24" spans="1:13">
      <c r="A24" s="10">
        <v>10032</v>
      </c>
      <c r="B24" s="11">
        <v>44600</v>
      </c>
      <c r="C24" t="str">
        <f t="shared" si="2"/>
        <v>Feb</v>
      </c>
      <c r="D24" t="s">
        <v>24</v>
      </c>
      <c r="E24" t="s">
        <v>13</v>
      </c>
      <c r="F24" t="s">
        <v>19</v>
      </c>
      <c r="G24" s="12">
        <v>199</v>
      </c>
      <c r="H24" s="12">
        <v>39</v>
      </c>
      <c r="I24" s="17">
        <v>171.6</v>
      </c>
      <c r="J24" s="13">
        <v>34148.4</v>
      </c>
      <c r="K24" s="13">
        <v>6692.4</v>
      </c>
      <c r="L24" s="18">
        <f t="shared" si="0"/>
        <v>27456</v>
      </c>
      <c r="M24" s="19">
        <f t="shared" si="1"/>
        <v>0.195979899497487</v>
      </c>
    </row>
    <row r="25" spans="1:13">
      <c r="A25" s="10">
        <v>10033</v>
      </c>
      <c r="B25" s="11">
        <v>44635</v>
      </c>
      <c r="C25" t="str">
        <f t="shared" si="2"/>
        <v>Mar</v>
      </c>
      <c r="D25" t="s">
        <v>20</v>
      </c>
      <c r="E25" t="s">
        <v>15</v>
      </c>
      <c r="F25" t="s">
        <v>19</v>
      </c>
      <c r="G25" s="12">
        <v>599</v>
      </c>
      <c r="H25" s="12">
        <v>299</v>
      </c>
      <c r="I25" s="17">
        <v>365.4</v>
      </c>
      <c r="J25" s="13">
        <v>218874.6</v>
      </c>
      <c r="K25" s="13">
        <v>109254.6</v>
      </c>
      <c r="L25" s="18">
        <f t="shared" si="0"/>
        <v>109620</v>
      </c>
      <c r="M25" s="19">
        <f t="shared" si="1"/>
        <v>0.499165275459098</v>
      </c>
    </row>
    <row r="26" spans="1:13">
      <c r="A26" s="10">
        <v>10034</v>
      </c>
      <c r="B26" s="11">
        <v>44635</v>
      </c>
      <c r="C26" t="str">
        <f t="shared" si="2"/>
        <v>Mar</v>
      </c>
      <c r="D26" t="s">
        <v>17</v>
      </c>
      <c r="E26" t="s">
        <v>15</v>
      </c>
      <c r="F26" s="14" t="s">
        <v>14</v>
      </c>
      <c r="G26" s="12">
        <v>1299</v>
      </c>
      <c r="H26" s="12">
        <v>459</v>
      </c>
      <c r="I26" s="17">
        <v>156.1</v>
      </c>
      <c r="J26" s="13">
        <v>202773.9</v>
      </c>
      <c r="K26" s="13">
        <v>71649.9</v>
      </c>
      <c r="L26" s="18">
        <f t="shared" si="0"/>
        <v>131124</v>
      </c>
      <c r="M26" s="19">
        <f t="shared" si="1"/>
        <v>0.353348729792148</v>
      </c>
    </row>
    <row r="27" spans="1:13">
      <c r="A27" s="10">
        <v>10035</v>
      </c>
      <c r="B27" s="11">
        <v>44635</v>
      </c>
      <c r="C27" t="str">
        <f t="shared" si="2"/>
        <v>Mar</v>
      </c>
      <c r="D27" t="s">
        <v>17</v>
      </c>
      <c r="E27" t="s">
        <v>13</v>
      </c>
      <c r="F27" t="s">
        <v>19</v>
      </c>
      <c r="G27" s="12">
        <v>1299</v>
      </c>
      <c r="H27" s="12">
        <v>459</v>
      </c>
      <c r="I27" s="17">
        <v>208.3</v>
      </c>
      <c r="J27" s="13">
        <v>270581.7</v>
      </c>
      <c r="K27" s="13">
        <v>95609.7</v>
      </c>
      <c r="L27" s="18">
        <f t="shared" si="0"/>
        <v>174972</v>
      </c>
      <c r="M27" s="19">
        <f t="shared" si="1"/>
        <v>0.353348729792148</v>
      </c>
    </row>
    <row r="28" spans="1:13">
      <c r="A28" s="10">
        <v>10036</v>
      </c>
      <c r="B28" s="11">
        <v>44635</v>
      </c>
      <c r="C28" t="str">
        <f t="shared" si="2"/>
        <v>Mar</v>
      </c>
      <c r="D28" t="s">
        <v>17</v>
      </c>
      <c r="E28" t="s">
        <v>15</v>
      </c>
      <c r="F28" s="14" t="s">
        <v>14</v>
      </c>
      <c r="G28" s="12">
        <v>1299</v>
      </c>
      <c r="H28" s="12">
        <v>459</v>
      </c>
      <c r="I28" s="17">
        <v>267.3</v>
      </c>
      <c r="J28" s="13">
        <v>347222.7</v>
      </c>
      <c r="K28" s="13">
        <v>122690.7</v>
      </c>
      <c r="L28" s="18">
        <f t="shared" si="0"/>
        <v>224532</v>
      </c>
      <c r="M28" s="19">
        <f t="shared" si="1"/>
        <v>0.353348729792148</v>
      </c>
    </row>
    <row r="29" spans="1:13">
      <c r="A29" s="10">
        <v>10037</v>
      </c>
      <c r="B29" s="11">
        <v>44637</v>
      </c>
      <c r="C29" t="str">
        <f t="shared" si="2"/>
        <v>Mar</v>
      </c>
      <c r="D29" t="s">
        <v>20</v>
      </c>
      <c r="E29" t="s">
        <v>15</v>
      </c>
      <c r="F29" s="14" t="s">
        <v>14</v>
      </c>
      <c r="G29" s="12">
        <v>599</v>
      </c>
      <c r="H29" s="12">
        <v>299</v>
      </c>
      <c r="I29" s="17">
        <v>338.5</v>
      </c>
      <c r="J29" s="13">
        <v>202761.5</v>
      </c>
      <c r="K29" s="13">
        <v>101211.5</v>
      </c>
      <c r="L29" s="18">
        <f t="shared" si="0"/>
        <v>101550</v>
      </c>
      <c r="M29" s="19">
        <f t="shared" si="1"/>
        <v>0.499165275459099</v>
      </c>
    </row>
    <row r="30" spans="1:13">
      <c r="A30" s="10">
        <v>10038</v>
      </c>
      <c r="B30" s="11">
        <v>44639</v>
      </c>
      <c r="C30" t="str">
        <f t="shared" si="2"/>
        <v>Mar</v>
      </c>
      <c r="D30" t="s">
        <v>12</v>
      </c>
      <c r="E30" t="s">
        <v>18</v>
      </c>
      <c r="F30" t="s">
        <v>19</v>
      </c>
      <c r="G30" s="13">
        <v>1099</v>
      </c>
      <c r="H30" s="13">
        <v>289</v>
      </c>
      <c r="I30" s="17">
        <v>321.8</v>
      </c>
      <c r="J30" s="13">
        <v>353658.2</v>
      </c>
      <c r="K30" s="13">
        <v>93000.2</v>
      </c>
      <c r="L30" s="18">
        <f t="shared" si="0"/>
        <v>260658</v>
      </c>
      <c r="M30" s="19">
        <f t="shared" si="1"/>
        <v>0.262966333030027</v>
      </c>
    </row>
    <row r="31" spans="1:13">
      <c r="A31" s="10">
        <v>10039</v>
      </c>
      <c r="B31" s="11">
        <v>44641</v>
      </c>
      <c r="C31" t="str">
        <f t="shared" si="2"/>
        <v>Mar</v>
      </c>
      <c r="D31" t="s">
        <v>24</v>
      </c>
      <c r="E31" t="s">
        <v>15</v>
      </c>
      <c r="F31" t="s">
        <v>22</v>
      </c>
      <c r="G31" s="12">
        <v>199</v>
      </c>
      <c r="H31" s="12">
        <v>39</v>
      </c>
      <c r="I31" s="17">
        <v>368.7</v>
      </c>
      <c r="J31" s="13">
        <v>73371.3</v>
      </c>
      <c r="K31" s="13">
        <v>14379.3</v>
      </c>
      <c r="L31" s="18">
        <f t="shared" si="0"/>
        <v>58992</v>
      </c>
      <c r="M31" s="19">
        <f t="shared" si="1"/>
        <v>0.195979899497487</v>
      </c>
    </row>
    <row r="32" spans="1:13">
      <c r="A32" s="10">
        <v>10040</v>
      </c>
      <c r="B32" s="11">
        <v>44643</v>
      </c>
      <c r="C32" t="str">
        <f t="shared" si="2"/>
        <v>Mar</v>
      </c>
      <c r="D32" t="s">
        <v>17</v>
      </c>
      <c r="E32" t="s">
        <v>13</v>
      </c>
      <c r="F32" t="s">
        <v>16</v>
      </c>
      <c r="G32" s="12">
        <v>1299</v>
      </c>
      <c r="H32" s="12">
        <v>459</v>
      </c>
      <c r="I32" s="17">
        <v>126.9</v>
      </c>
      <c r="J32" s="13">
        <v>164843.1</v>
      </c>
      <c r="K32" s="13">
        <v>58247.1</v>
      </c>
      <c r="L32" s="18">
        <f t="shared" si="0"/>
        <v>106596</v>
      </c>
      <c r="M32" s="19">
        <f t="shared" si="1"/>
        <v>0.353348729792148</v>
      </c>
    </row>
    <row r="33" spans="1:13">
      <c r="A33" s="10">
        <v>10041</v>
      </c>
      <c r="B33" s="11">
        <v>44645</v>
      </c>
      <c r="C33" t="str">
        <f t="shared" si="2"/>
        <v>Mar</v>
      </c>
      <c r="D33" t="s">
        <v>20</v>
      </c>
      <c r="E33" t="s">
        <v>21</v>
      </c>
      <c r="F33" t="s">
        <v>19</v>
      </c>
      <c r="G33" s="12">
        <v>599</v>
      </c>
      <c r="H33" s="12">
        <v>299</v>
      </c>
      <c r="I33" s="17">
        <v>390</v>
      </c>
      <c r="J33" s="13">
        <v>233610</v>
      </c>
      <c r="K33" s="13">
        <v>116610</v>
      </c>
      <c r="L33" s="18">
        <f t="shared" si="0"/>
        <v>117000</v>
      </c>
      <c r="M33" s="19">
        <f t="shared" si="1"/>
        <v>0.499165275459099</v>
      </c>
    </row>
    <row r="34" spans="1:13">
      <c r="A34" s="10">
        <v>10042</v>
      </c>
      <c r="B34" s="11">
        <v>44647</v>
      </c>
      <c r="C34" t="str">
        <f t="shared" si="2"/>
        <v>Mar</v>
      </c>
      <c r="D34" t="s">
        <v>17</v>
      </c>
      <c r="E34" t="s">
        <v>21</v>
      </c>
      <c r="F34" t="s">
        <v>16</v>
      </c>
      <c r="G34" s="12">
        <v>1299</v>
      </c>
      <c r="H34" s="12">
        <v>459</v>
      </c>
      <c r="I34" s="17">
        <v>388.3</v>
      </c>
      <c r="J34" s="13">
        <v>504401.7</v>
      </c>
      <c r="K34" s="13">
        <v>178229.7</v>
      </c>
      <c r="L34" s="18">
        <f t="shared" si="0"/>
        <v>326172</v>
      </c>
      <c r="M34" s="19">
        <f t="shared" si="1"/>
        <v>0.353348729792148</v>
      </c>
    </row>
    <row r="35" spans="1:13">
      <c r="A35" s="10">
        <v>10043</v>
      </c>
      <c r="B35" s="11">
        <v>44649</v>
      </c>
      <c r="C35" t="str">
        <f t="shared" ref="C35:C66" si="3">TEXT(B35,"MMM")</f>
        <v>Mar</v>
      </c>
      <c r="D35" t="s">
        <v>17</v>
      </c>
      <c r="E35" t="s">
        <v>21</v>
      </c>
      <c r="F35" t="s">
        <v>19</v>
      </c>
      <c r="G35" s="12">
        <v>1299</v>
      </c>
      <c r="H35" s="12">
        <v>459</v>
      </c>
      <c r="I35" s="17">
        <v>112</v>
      </c>
      <c r="J35" s="13">
        <v>145488</v>
      </c>
      <c r="K35" s="13">
        <v>51408</v>
      </c>
      <c r="L35" s="18">
        <f t="shared" si="0"/>
        <v>94080</v>
      </c>
      <c r="M35" s="19">
        <f t="shared" si="1"/>
        <v>0.353348729792148</v>
      </c>
    </row>
    <row r="36" spans="1:13">
      <c r="A36" s="10">
        <v>10044</v>
      </c>
      <c r="B36" s="11">
        <v>44651</v>
      </c>
      <c r="C36" t="str">
        <f t="shared" si="3"/>
        <v>Mar</v>
      </c>
      <c r="D36" t="s">
        <v>24</v>
      </c>
      <c r="E36" t="s">
        <v>21</v>
      </c>
      <c r="F36" s="14" t="s">
        <v>14</v>
      </c>
      <c r="G36" s="12">
        <v>199</v>
      </c>
      <c r="H36" s="12">
        <v>39</v>
      </c>
      <c r="I36" s="17">
        <v>331.7</v>
      </c>
      <c r="J36" s="13">
        <v>66008.3</v>
      </c>
      <c r="K36" s="13">
        <v>12936.3</v>
      </c>
      <c r="L36" s="18">
        <f t="shared" si="0"/>
        <v>53072</v>
      </c>
      <c r="M36" s="19">
        <f t="shared" si="1"/>
        <v>0.195979899497487</v>
      </c>
    </row>
    <row r="37" spans="1:13">
      <c r="A37" s="10">
        <v>10045</v>
      </c>
      <c r="B37" s="11">
        <v>44653</v>
      </c>
      <c r="C37" t="str">
        <f t="shared" si="3"/>
        <v>Apr</v>
      </c>
      <c r="D37" t="s">
        <v>24</v>
      </c>
      <c r="E37" t="s">
        <v>15</v>
      </c>
      <c r="F37" s="14" t="s">
        <v>14</v>
      </c>
      <c r="G37" s="12">
        <v>199</v>
      </c>
      <c r="H37" s="12">
        <v>39</v>
      </c>
      <c r="I37" s="17">
        <v>171</v>
      </c>
      <c r="J37" s="13">
        <v>34029</v>
      </c>
      <c r="K37" s="13">
        <v>6669</v>
      </c>
      <c r="L37" s="18">
        <f t="shared" si="0"/>
        <v>27360</v>
      </c>
      <c r="M37" s="19">
        <f t="shared" si="1"/>
        <v>0.195979899497487</v>
      </c>
    </row>
    <row r="38" spans="1:13">
      <c r="A38" s="10">
        <v>10046</v>
      </c>
      <c r="B38" s="11">
        <v>44655</v>
      </c>
      <c r="C38" t="str">
        <f t="shared" si="3"/>
        <v>Apr</v>
      </c>
      <c r="D38" t="s">
        <v>17</v>
      </c>
      <c r="E38" t="s">
        <v>21</v>
      </c>
      <c r="F38" t="s">
        <v>19</v>
      </c>
      <c r="G38" s="12">
        <v>1299</v>
      </c>
      <c r="H38" s="12">
        <v>459</v>
      </c>
      <c r="I38" s="17">
        <v>167.2</v>
      </c>
      <c r="J38" s="13">
        <v>217192.8</v>
      </c>
      <c r="K38" s="13">
        <v>76744.8</v>
      </c>
      <c r="L38" s="18">
        <f t="shared" si="0"/>
        <v>140448</v>
      </c>
      <c r="M38" s="19">
        <f t="shared" si="1"/>
        <v>0.353348729792148</v>
      </c>
    </row>
    <row r="39" spans="1:13">
      <c r="A39" s="10">
        <v>10047</v>
      </c>
      <c r="B39" s="11">
        <v>44657</v>
      </c>
      <c r="C39" t="str">
        <f t="shared" si="3"/>
        <v>Apr</v>
      </c>
      <c r="D39" t="s">
        <v>24</v>
      </c>
      <c r="E39" t="s">
        <v>15</v>
      </c>
      <c r="F39" t="s">
        <v>19</v>
      </c>
      <c r="G39" s="12">
        <v>199</v>
      </c>
      <c r="H39" s="12">
        <v>39</v>
      </c>
      <c r="I39" s="17">
        <v>357.8</v>
      </c>
      <c r="J39" s="13">
        <v>71202.2</v>
      </c>
      <c r="K39" s="13">
        <v>13954.2</v>
      </c>
      <c r="L39" s="18">
        <f t="shared" si="0"/>
        <v>57248</v>
      </c>
      <c r="M39" s="19">
        <f t="shared" si="1"/>
        <v>0.195979899497487</v>
      </c>
    </row>
    <row r="40" spans="1:13">
      <c r="A40" s="10">
        <v>10048</v>
      </c>
      <c r="B40" s="11">
        <v>44659</v>
      </c>
      <c r="C40" t="str">
        <f t="shared" si="3"/>
        <v>Apr</v>
      </c>
      <c r="D40" t="s">
        <v>23</v>
      </c>
      <c r="E40" t="s">
        <v>21</v>
      </c>
      <c r="F40" t="s">
        <v>19</v>
      </c>
      <c r="G40" s="12">
        <v>449</v>
      </c>
      <c r="H40" s="12">
        <v>159</v>
      </c>
      <c r="I40" s="17">
        <v>396.2</v>
      </c>
      <c r="J40" s="13">
        <v>177893.8</v>
      </c>
      <c r="K40" s="13">
        <v>62995.8</v>
      </c>
      <c r="L40" s="18">
        <f t="shared" si="0"/>
        <v>114898</v>
      </c>
      <c r="M40" s="19">
        <f t="shared" si="1"/>
        <v>0.354120267260579</v>
      </c>
    </row>
    <row r="41" spans="1:13">
      <c r="A41" s="10">
        <v>10049</v>
      </c>
      <c r="B41" s="11">
        <v>44661</v>
      </c>
      <c r="C41" t="str">
        <f t="shared" si="3"/>
        <v>Apr</v>
      </c>
      <c r="D41" t="s">
        <v>23</v>
      </c>
      <c r="E41" t="s">
        <v>21</v>
      </c>
      <c r="F41" t="s">
        <v>19</v>
      </c>
      <c r="G41" s="12">
        <v>449</v>
      </c>
      <c r="H41" s="12">
        <v>159</v>
      </c>
      <c r="I41" s="17">
        <v>314.2</v>
      </c>
      <c r="J41" s="13">
        <v>141075.8</v>
      </c>
      <c r="K41" s="13">
        <v>49957.8</v>
      </c>
      <c r="L41" s="18">
        <f t="shared" si="0"/>
        <v>91118</v>
      </c>
      <c r="M41" s="19">
        <f t="shared" si="1"/>
        <v>0.354120267260579</v>
      </c>
    </row>
    <row r="42" spans="1:13">
      <c r="A42" s="10">
        <v>10050</v>
      </c>
      <c r="B42" s="11">
        <v>44663</v>
      </c>
      <c r="C42" t="str">
        <f t="shared" si="3"/>
        <v>Apr</v>
      </c>
      <c r="D42" t="s">
        <v>20</v>
      </c>
      <c r="E42" t="s">
        <v>18</v>
      </c>
      <c r="F42" t="s">
        <v>16</v>
      </c>
      <c r="G42" s="12">
        <v>599</v>
      </c>
      <c r="H42" s="12">
        <v>299</v>
      </c>
      <c r="I42" s="17">
        <v>497.7</v>
      </c>
      <c r="J42" s="13">
        <v>298122.3</v>
      </c>
      <c r="K42" s="13">
        <v>148812.3</v>
      </c>
      <c r="L42" s="18">
        <f t="shared" si="0"/>
        <v>149310</v>
      </c>
      <c r="M42" s="19">
        <f t="shared" si="1"/>
        <v>0.499165275459099</v>
      </c>
    </row>
    <row r="43" spans="1:13">
      <c r="A43" s="10">
        <v>10051</v>
      </c>
      <c r="B43" s="11">
        <v>44665</v>
      </c>
      <c r="C43" t="str">
        <f t="shared" si="3"/>
        <v>Apr</v>
      </c>
      <c r="D43" t="s">
        <v>20</v>
      </c>
      <c r="E43" t="s">
        <v>21</v>
      </c>
      <c r="F43" t="s">
        <v>22</v>
      </c>
      <c r="G43" s="12">
        <v>599</v>
      </c>
      <c r="H43" s="12">
        <v>299</v>
      </c>
      <c r="I43" s="17">
        <v>125.4</v>
      </c>
      <c r="J43" s="13">
        <v>75114.6</v>
      </c>
      <c r="K43" s="13">
        <v>37494.6</v>
      </c>
      <c r="L43" s="18">
        <f t="shared" si="0"/>
        <v>37620</v>
      </c>
      <c r="M43" s="19">
        <f t="shared" si="1"/>
        <v>0.499165275459098</v>
      </c>
    </row>
    <row r="44" spans="1:13">
      <c r="A44" s="10">
        <v>10052</v>
      </c>
      <c r="B44" s="11">
        <v>44667</v>
      </c>
      <c r="C44" t="str">
        <f t="shared" si="3"/>
        <v>Apr</v>
      </c>
      <c r="D44" t="s">
        <v>24</v>
      </c>
      <c r="E44" t="s">
        <v>15</v>
      </c>
      <c r="F44" t="s">
        <v>22</v>
      </c>
      <c r="G44" s="12">
        <v>199</v>
      </c>
      <c r="H44" s="12">
        <v>39</v>
      </c>
      <c r="I44" s="17">
        <v>411.2</v>
      </c>
      <c r="J44" s="13">
        <v>81828.8</v>
      </c>
      <c r="K44" s="13">
        <v>16036.8</v>
      </c>
      <c r="L44" s="18">
        <f t="shared" si="0"/>
        <v>65792</v>
      </c>
      <c r="M44" s="19">
        <f t="shared" si="1"/>
        <v>0.195979899497487</v>
      </c>
    </row>
    <row r="45" spans="1:13">
      <c r="A45" s="10">
        <v>10053</v>
      </c>
      <c r="B45" s="11">
        <v>44669</v>
      </c>
      <c r="C45" t="str">
        <f t="shared" si="3"/>
        <v>Apr</v>
      </c>
      <c r="D45" t="s">
        <v>24</v>
      </c>
      <c r="E45" t="s">
        <v>15</v>
      </c>
      <c r="F45" s="14" t="s">
        <v>14</v>
      </c>
      <c r="G45" s="12">
        <v>199</v>
      </c>
      <c r="H45" s="12">
        <v>39</v>
      </c>
      <c r="I45" s="17">
        <v>194.3</v>
      </c>
      <c r="J45" s="13">
        <v>38665.7</v>
      </c>
      <c r="K45" s="13">
        <v>7577.7</v>
      </c>
      <c r="L45" s="18">
        <f t="shared" si="0"/>
        <v>31088</v>
      </c>
      <c r="M45" s="19">
        <f t="shared" si="1"/>
        <v>0.195979899497487</v>
      </c>
    </row>
    <row r="46" spans="1:13">
      <c r="A46" s="10">
        <v>10054</v>
      </c>
      <c r="B46" s="11">
        <v>44671</v>
      </c>
      <c r="C46" t="str">
        <f t="shared" si="3"/>
        <v>Apr</v>
      </c>
      <c r="D46" t="s">
        <v>24</v>
      </c>
      <c r="E46" t="s">
        <v>18</v>
      </c>
      <c r="F46" s="14" t="s">
        <v>14</v>
      </c>
      <c r="G46" s="12">
        <v>199</v>
      </c>
      <c r="H46" s="12">
        <v>39</v>
      </c>
      <c r="I46" s="17">
        <v>167.9</v>
      </c>
      <c r="J46" s="13">
        <v>33412.1</v>
      </c>
      <c r="K46" s="13">
        <v>6548.1</v>
      </c>
      <c r="L46" s="18">
        <f t="shared" si="0"/>
        <v>26864</v>
      </c>
      <c r="M46" s="19">
        <f t="shared" si="1"/>
        <v>0.195979899497487</v>
      </c>
    </row>
    <row r="47" spans="1:13">
      <c r="A47" s="10">
        <v>10055</v>
      </c>
      <c r="B47" s="11">
        <v>44673</v>
      </c>
      <c r="C47" t="str">
        <f t="shared" si="3"/>
        <v>Apr</v>
      </c>
      <c r="D47" t="s">
        <v>12</v>
      </c>
      <c r="E47" t="s">
        <v>21</v>
      </c>
      <c r="F47" s="14" t="s">
        <v>14</v>
      </c>
      <c r="G47" s="13">
        <v>1099</v>
      </c>
      <c r="H47" s="13">
        <v>289</v>
      </c>
      <c r="I47" s="17">
        <v>132.2</v>
      </c>
      <c r="J47" s="13">
        <v>145287.8</v>
      </c>
      <c r="K47" s="13">
        <v>38205.8</v>
      </c>
      <c r="L47" s="18">
        <f t="shared" si="0"/>
        <v>107082</v>
      </c>
      <c r="M47" s="19">
        <f t="shared" si="1"/>
        <v>0.262966333030027</v>
      </c>
    </row>
    <row r="48" spans="1:13">
      <c r="A48" s="10">
        <v>10056</v>
      </c>
      <c r="B48" s="11">
        <v>44675</v>
      </c>
      <c r="C48" t="str">
        <f t="shared" si="3"/>
        <v>Apr</v>
      </c>
      <c r="D48" t="s">
        <v>12</v>
      </c>
      <c r="E48" t="s">
        <v>18</v>
      </c>
      <c r="F48" s="14" t="s">
        <v>14</v>
      </c>
      <c r="G48" s="13">
        <v>1099</v>
      </c>
      <c r="H48" s="13">
        <v>289</v>
      </c>
      <c r="I48" s="17">
        <v>139.4</v>
      </c>
      <c r="J48" s="13">
        <v>153200.6</v>
      </c>
      <c r="K48" s="13">
        <v>40286.6</v>
      </c>
      <c r="L48" s="18">
        <f t="shared" si="0"/>
        <v>112914</v>
      </c>
      <c r="M48" s="19">
        <f t="shared" si="1"/>
        <v>0.262966333030027</v>
      </c>
    </row>
    <row r="49" spans="1:13">
      <c r="A49" s="10">
        <v>10057</v>
      </c>
      <c r="B49" s="11">
        <v>44677</v>
      </c>
      <c r="C49" t="str">
        <f t="shared" si="3"/>
        <v>Apr</v>
      </c>
      <c r="D49" t="s">
        <v>12</v>
      </c>
      <c r="E49" t="s">
        <v>15</v>
      </c>
      <c r="F49" s="14" t="s">
        <v>14</v>
      </c>
      <c r="G49" s="13">
        <v>1099</v>
      </c>
      <c r="H49" s="13">
        <v>289</v>
      </c>
      <c r="I49" s="17">
        <v>106</v>
      </c>
      <c r="J49" s="13">
        <v>116494</v>
      </c>
      <c r="K49" s="13">
        <v>30634</v>
      </c>
      <c r="L49" s="18">
        <f t="shared" si="0"/>
        <v>85860</v>
      </c>
      <c r="M49" s="19">
        <f t="shared" si="1"/>
        <v>0.262966333030027</v>
      </c>
    </row>
    <row r="50" spans="1:13">
      <c r="A50" s="10">
        <v>10058</v>
      </c>
      <c r="B50" s="11">
        <v>44679</v>
      </c>
      <c r="C50" t="str">
        <f t="shared" si="3"/>
        <v>Apr</v>
      </c>
      <c r="D50" t="s">
        <v>20</v>
      </c>
      <c r="E50" t="s">
        <v>18</v>
      </c>
      <c r="F50" t="s">
        <v>22</v>
      </c>
      <c r="G50" s="12">
        <v>599</v>
      </c>
      <c r="H50" s="12">
        <v>299</v>
      </c>
      <c r="I50" s="17">
        <v>271.9</v>
      </c>
      <c r="J50" s="13">
        <v>162868.1</v>
      </c>
      <c r="K50" s="13">
        <v>81298.1</v>
      </c>
      <c r="L50" s="18">
        <f t="shared" si="0"/>
        <v>81570</v>
      </c>
      <c r="M50" s="19">
        <f t="shared" si="1"/>
        <v>0.499165275459098</v>
      </c>
    </row>
    <row r="51" spans="1:13">
      <c r="A51" s="10">
        <v>10059</v>
      </c>
      <c r="B51" s="11">
        <v>44681</v>
      </c>
      <c r="C51" t="str">
        <f t="shared" si="3"/>
        <v>Apr</v>
      </c>
      <c r="D51" t="s">
        <v>24</v>
      </c>
      <c r="E51" t="s">
        <v>15</v>
      </c>
      <c r="F51" t="s">
        <v>16</v>
      </c>
      <c r="G51" s="12">
        <v>199</v>
      </c>
      <c r="H51" s="12">
        <v>39</v>
      </c>
      <c r="I51" s="17">
        <v>236</v>
      </c>
      <c r="J51" s="13">
        <v>46964</v>
      </c>
      <c r="K51" s="13">
        <v>9204</v>
      </c>
      <c r="L51" s="18">
        <f t="shared" si="0"/>
        <v>37760</v>
      </c>
      <c r="M51" s="19">
        <f t="shared" si="1"/>
        <v>0.195979899497487</v>
      </c>
    </row>
    <row r="52" spans="1:13">
      <c r="A52" s="10">
        <v>10060</v>
      </c>
      <c r="B52" s="11">
        <v>44683</v>
      </c>
      <c r="C52" t="str">
        <f t="shared" si="3"/>
        <v>May</v>
      </c>
      <c r="D52" t="s">
        <v>17</v>
      </c>
      <c r="E52" t="s">
        <v>18</v>
      </c>
      <c r="F52" t="s">
        <v>16</v>
      </c>
      <c r="G52" s="12">
        <v>1299</v>
      </c>
      <c r="H52" s="12">
        <v>459</v>
      </c>
      <c r="I52" s="17">
        <v>339.8</v>
      </c>
      <c r="J52" s="13">
        <v>441400.2</v>
      </c>
      <c r="K52" s="13">
        <v>155968.2</v>
      </c>
      <c r="L52" s="18">
        <f t="shared" si="0"/>
        <v>285432</v>
      </c>
      <c r="M52" s="19">
        <f t="shared" si="1"/>
        <v>0.353348729792148</v>
      </c>
    </row>
    <row r="53" spans="1:13">
      <c r="A53" s="10">
        <v>10061</v>
      </c>
      <c r="B53" s="11">
        <v>44685</v>
      </c>
      <c r="C53" t="str">
        <f t="shared" si="3"/>
        <v>May</v>
      </c>
      <c r="D53" t="s">
        <v>20</v>
      </c>
      <c r="E53" t="s">
        <v>18</v>
      </c>
      <c r="F53" t="s">
        <v>19</v>
      </c>
      <c r="G53" s="12">
        <v>599</v>
      </c>
      <c r="H53" s="12">
        <v>299</v>
      </c>
      <c r="I53" s="17">
        <v>403.6</v>
      </c>
      <c r="J53" s="13">
        <v>241756.4</v>
      </c>
      <c r="K53" s="13">
        <v>120676.4</v>
      </c>
      <c r="L53" s="18">
        <f t="shared" si="0"/>
        <v>121080</v>
      </c>
      <c r="M53" s="19">
        <f t="shared" si="1"/>
        <v>0.499165275459099</v>
      </c>
    </row>
    <row r="54" spans="1:13">
      <c r="A54" s="10">
        <v>10062</v>
      </c>
      <c r="B54" s="11">
        <v>44687</v>
      </c>
      <c r="C54" t="str">
        <f t="shared" si="3"/>
        <v>May</v>
      </c>
      <c r="D54" t="s">
        <v>17</v>
      </c>
      <c r="E54" t="s">
        <v>21</v>
      </c>
      <c r="F54" t="s">
        <v>19</v>
      </c>
      <c r="G54" s="12">
        <v>1299</v>
      </c>
      <c r="H54" s="12">
        <v>459</v>
      </c>
      <c r="I54" s="17">
        <v>218.6</v>
      </c>
      <c r="J54" s="13">
        <v>283961.4</v>
      </c>
      <c r="K54" s="13">
        <v>100337.4</v>
      </c>
      <c r="L54" s="18">
        <f t="shared" si="0"/>
        <v>183624</v>
      </c>
      <c r="M54" s="19">
        <f t="shared" si="1"/>
        <v>0.353348729792148</v>
      </c>
    </row>
    <row r="55" spans="1:13">
      <c r="A55" s="10">
        <v>10063</v>
      </c>
      <c r="B55" s="11">
        <v>44689</v>
      </c>
      <c r="C55" t="str">
        <f t="shared" si="3"/>
        <v>May</v>
      </c>
      <c r="D55" t="s">
        <v>17</v>
      </c>
      <c r="E55" t="s">
        <v>21</v>
      </c>
      <c r="F55" t="s">
        <v>16</v>
      </c>
      <c r="G55" s="12">
        <v>1299</v>
      </c>
      <c r="H55" s="12">
        <v>459</v>
      </c>
      <c r="I55" s="17">
        <v>462.2</v>
      </c>
      <c r="J55" s="13">
        <v>600397.8</v>
      </c>
      <c r="K55" s="13">
        <v>212149.8</v>
      </c>
      <c r="L55" s="18">
        <f t="shared" si="0"/>
        <v>388248</v>
      </c>
      <c r="M55" s="19">
        <f t="shared" si="1"/>
        <v>0.353348729792148</v>
      </c>
    </row>
    <row r="56" spans="1:13">
      <c r="A56" s="10">
        <v>10064</v>
      </c>
      <c r="B56" s="11">
        <v>44691</v>
      </c>
      <c r="C56" t="str">
        <f t="shared" si="3"/>
        <v>May</v>
      </c>
      <c r="D56" t="s">
        <v>23</v>
      </c>
      <c r="E56" t="s">
        <v>15</v>
      </c>
      <c r="F56" t="s">
        <v>19</v>
      </c>
      <c r="G56" s="12">
        <v>449</v>
      </c>
      <c r="H56" s="12">
        <v>159</v>
      </c>
      <c r="I56" s="17">
        <v>210.9</v>
      </c>
      <c r="J56" s="13">
        <v>94694.1</v>
      </c>
      <c r="K56" s="13">
        <v>33533.1</v>
      </c>
      <c r="L56" s="18">
        <f t="shared" si="0"/>
        <v>61161</v>
      </c>
      <c r="M56" s="19">
        <f t="shared" si="1"/>
        <v>0.354120267260579</v>
      </c>
    </row>
    <row r="57" spans="1:13">
      <c r="A57" s="10">
        <v>10065</v>
      </c>
      <c r="B57" s="11">
        <v>44693</v>
      </c>
      <c r="C57" t="str">
        <f t="shared" si="3"/>
        <v>May</v>
      </c>
      <c r="D57" t="s">
        <v>23</v>
      </c>
      <c r="E57" t="s">
        <v>18</v>
      </c>
      <c r="F57" t="s">
        <v>16</v>
      </c>
      <c r="G57" s="12">
        <v>449</v>
      </c>
      <c r="H57" s="12">
        <v>159</v>
      </c>
      <c r="I57" s="17">
        <v>453.4</v>
      </c>
      <c r="J57" s="13">
        <v>203576.6</v>
      </c>
      <c r="K57" s="13">
        <v>72090.6</v>
      </c>
      <c r="L57" s="18">
        <f t="shared" si="0"/>
        <v>131486</v>
      </c>
      <c r="M57" s="19">
        <f t="shared" si="1"/>
        <v>0.354120267260579</v>
      </c>
    </row>
    <row r="58" spans="1:13">
      <c r="A58" s="10">
        <v>10066</v>
      </c>
      <c r="B58" s="11">
        <v>44695</v>
      </c>
      <c r="C58" t="str">
        <f t="shared" si="3"/>
        <v>May</v>
      </c>
      <c r="D58" t="s">
        <v>24</v>
      </c>
      <c r="E58" t="s">
        <v>21</v>
      </c>
      <c r="F58" t="s">
        <v>16</v>
      </c>
      <c r="G58" s="12">
        <v>199</v>
      </c>
      <c r="H58" s="12">
        <v>39</v>
      </c>
      <c r="I58" s="17">
        <v>471.9</v>
      </c>
      <c r="J58" s="13">
        <v>93908.1</v>
      </c>
      <c r="K58" s="13">
        <v>18404.1</v>
      </c>
      <c r="L58" s="18">
        <f t="shared" si="0"/>
        <v>75504</v>
      </c>
      <c r="M58" s="19">
        <f t="shared" si="1"/>
        <v>0.195979899497487</v>
      </c>
    </row>
    <row r="59" spans="1:13">
      <c r="A59" s="10">
        <v>10067</v>
      </c>
      <c r="B59" s="11">
        <v>44697</v>
      </c>
      <c r="C59" t="str">
        <f t="shared" si="3"/>
        <v>May</v>
      </c>
      <c r="D59" t="s">
        <v>23</v>
      </c>
      <c r="E59" t="s">
        <v>18</v>
      </c>
      <c r="F59" t="s">
        <v>16</v>
      </c>
      <c r="G59" s="12">
        <v>449</v>
      </c>
      <c r="H59" s="12">
        <v>159</v>
      </c>
      <c r="I59" s="17">
        <v>128.3</v>
      </c>
      <c r="J59" s="13">
        <v>57606.7</v>
      </c>
      <c r="K59" s="13">
        <v>20399.7</v>
      </c>
      <c r="L59" s="18">
        <f t="shared" si="0"/>
        <v>37207</v>
      </c>
      <c r="M59" s="19">
        <f t="shared" si="1"/>
        <v>0.354120267260579</v>
      </c>
    </row>
    <row r="60" spans="1:13">
      <c r="A60" s="10">
        <v>10068</v>
      </c>
      <c r="B60" s="11">
        <v>44699</v>
      </c>
      <c r="C60" t="str">
        <f t="shared" si="3"/>
        <v>May</v>
      </c>
      <c r="D60" t="s">
        <v>20</v>
      </c>
      <c r="E60" t="s">
        <v>15</v>
      </c>
      <c r="F60" t="s">
        <v>16</v>
      </c>
      <c r="G60" s="12">
        <v>599</v>
      </c>
      <c r="H60" s="12">
        <v>299</v>
      </c>
      <c r="I60" s="17">
        <v>198.2</v>
      </c>
      <c r="J60" s="13">
        <v>118721.8</v>
      </c>
      <c r="K60" s="13">
        <v>59261.8</v>
      </c>
      <c r="L60" s="18">
        <f t="shared" si="0"/>
        <v>59460</v>
      </c>
      <c r="M60" s="19">
        <f t="shared" si="1"/>
        <v>0.499165275459098</v>
      </c>
    </row>
    <row r="61" spans="1:13">
      <c r="A61" s="10">
        <v>10069</v>
      </c>
      <c r="B61" s="11">
        <v>44701</v>
      </c>
      <c r="C61" t="str">
        <f t="shared" si="3"/>
        <v>May</v>
      </c>
      <c r="D61" t="s">
        <v>20</v>
      </c>
      <c r="E61" t="s">
        <v>18</v>
      </c>
      <c r="F61" t="s">
        <v>16</v>
      </c>
      <c r="G61" s="12">
        <v>599</v>
      </c>
      <c r="H61" s="12">
        <v>299</v>
      </c>
      <c r="I61" s="17">
        <v>300.3</v>
      </c>
      <c r="J61" s="13">
        <v>179879.7</v>
      </c>
      <c r="K61" s="13">
        <v>89789.7</v>
      </c>
      <c r="L61" s="18">
        <f t="shared" si="0"/>
        <v>90090</v>
      </c>
      <c r="M61" s="19">
        <f t="shared" si="1"/>
        <v>0.499165275459098</v>
      </c>
    </row>
    <row r="62" spans="1:13">
      <c r="A62" s="10">
        <v>10070</v>
      </c>
      <c r="B62" s="11">
        <v>44703</v>
      </c>
      <c r="C62" t="str">
        <f t="shared" si="3"/>
        <v>May</v>
      </c>
      <c r="D62" t="s">
        <v>12</v>
      </c>
      <c r="E62" t="s">
        <v>21</v>
      </c>
      <c r="F62" t="s">
        <v>16</v>
      </c>
      <c r="G62" s="13">
        <v>1099</v>
      </c>
      <c r="H62" s="13">
        <v>289</v>
      </c>
      <c r="I62" s="17">
        <v>129.4</v>
      </c>
      <c r="J62" s="13">
        <v>142210.6</v>
      </c>
      <c r="K62" s="13">
        <v>37396.6</v>
      </c>
      <c r="L62" s="18">
        <f t="shared" si="0"/>
        <v>104814</v>
      </c>
      <c r="M62" s="19">
        <f t="shared" si="1"/>
        <v>0.262966333030027</v>
      </c>
    </row>
    <row r="63" spans="1:13">
      <c r="A63" s="10">
        <v>10071</v>
      </c>
      <c r="B63" s="11">
        <v>44705</v>
      </c>
      <c r="C63" t="str">
        <f t="shared" si="3"/>
        <v>May</v>
      </c>
      <c r="D63" t="s">
        <v>12</v>
      </c>
      <c r="E63" t="s">
        <v>18</v>
      </c>
      <c r="F63" t="s">
        <v>16</v>
      </c>
      <c r="G63" s="13">
        <v>1099</v>
      </c>
      <c r="H63" s="13">
        <v>289</v>
      </c>
      <c r="I63" s="17">
        <v>341.7</v>
      </c>
      <c r="J63" s="13">
        <v>375528.3</v>
      </c>
      <c r="K63" s="13">
        <v>98751.3</v>
      </c>
      <c r="L63" s="18">
        <f t="shared" si="0"/>
        <v>276777</v>
      </c>
      <c r="M63" s="19">
        <f t="shared" si="1"/>
        <v>0.262966333030027</v>
      </c>
    </row>
    <row r="64" spans="1:13">
      <c r="A64" s="10">
        <v>10072</v>
      </c>
      <c r="B64" s="11">
        <v>44707</v>
      </c>
      <c r="C64" t="str">
        <f t="shared" si="3"/>
        <v>May</v>
      </c>
      <c r="D64" t="s">
        <v>20</v>
      </c>
      <c r="E64" t="s">
        <v>15</v>
      </c>
      <c r="F64" s="14" t="s">
        <v>14</v>
      </c>
      <c r="G64" s="12">
        <v>599</v>
      </c>
      <c r="H64" s="12">
        <v>299</v>
      </c>
      <c r="I64" s="17">
        <v>155.6</v>
      </c>
      <c r="J64" s="13">
        <v>93204.4</v>
      </c>
      <c r="K64" s="13">
        <v>46524.4</v>
      </c>
      <c r="L64" s="18">
        <f t="shared" si="0"/>
        <v>46680</v>
      </c>
      <c r="M64" s="19">
        <f t="shared" si="1"/>
        <v>0.499165275459099</v>
      </c>
    </row>
    <row r="65" spans="1:13">
      <c r="A65" s="10">
        <v>10073</v>
      </c>
      <c r="B65" s="11">
        <v>44709</v>
      </c>
      <c r="C65" t="str">
        <f t="shared" si="3"/>
        <v>May</v>
      </c>
      <c r="D65" t="s">
        <v>17</v>
      </c>
      <c r="E65" t="s">
        <v>18</v>
      </c>
      <c r="F65" s="14" t="s">
        <v>14</v>
      </c>
      <c r="G65" s="12">
        <v>1299</v>
      </c>
      <c r="H65" s="12">
        <v>459</v>
      </c>
      <c r="I65" s="17">
        <v>318.4</v>
      </c>
      <c r="J65" s="13">
        <v>413601.6</v>
      </c>
      <c r="K65" s="13">
        <v>146145.6</v>
      </c>
      <c r="L65" s="18">
        <f t="shared" si="0"/>
        <v>267456</v>
      </c>
      <c r="M65" s="19">
        <f t="shared" si="1"/>
        <v>0.353348729792148</v>
      </c>
    </row>
    <row r="66" spans="1:13">
      <c r="A66" s="10">
        <v>10074</v>
      </c>
      <c r="B66" s="11">
        <v>44711</v>
      </c>
      <c r="C66" t="str">
        <f t="shared" si="3"/>
        <v>May</v>
      </c>
      <c r="D66" t="s">
        <v>24</v>
      </c>
      <c r="E66" t="s">
        <v>21</v>
      </c>
      <c r="F66" s="14" t="s">
        <v>14</v>
      </c>
      <c r="G66" s="12">
        <v>199</v>
      </c>
      <c r="H66" s="12">
        <v>39</v>
      </c>
      <c r="I66" s="17">
        <v>307.6</v>
      </c>
      <c r="J66" s="13">
        <v>61212.4</v>
      </c>
      <c r="K66" s="13">
        <v>11996.4</v>
      </c>
      <c r="L66" s="18">
        <f t="shared" ref="L66:L129" si="4">J66-K66</f>
        <v>49216</v>
      </c>
      <c r="M66" s="19">
        <f t="shared" ref="M66:M129" si="5">K66/J66</f>
        <v>0.195979899497487</v>
      </c>
    </row>
    <row r="67" spans="1:13">
      <c r="A67" s="10">
        <v>10075</v>
      </c>
      <c r="B67" s="11">
        <v>44713</v>
      </c>
      <c r="C67" t="str">
        <f t="shared" ref="C67:C98" si="6">TEXT(B67,"MMM")</f>
        <v>Jun</v>
      </c>
      <c r="D67" t="s">
        <v>17</v>
      </c>
      <c r="E67" t="s">
        <v>18</v>
      </c>
      <c r="F67" s="14" t="s">
        <v>14</v>
      </c>
      <c r="G67" s="12">
        <v>1299</v>
      </c>
      <c r="H67" s="12">
        <v>459</v>
      </c>
      <c r="I67" s="17">
        <v>187.3</v>
      </c>
      <c r="J67" s="13">
        <v>243302.7</v>
      </c>
      <c r="K67" s="13">
        <v>85970.7</v>
      </c>
      <c r="L67" s="18">
        <f t="shared" si="4"/>
        <v>157332</v>
      </c>
      <c r="M67" s="19">
        <f t="shared" si="5"/>
        <v>0.353348729792148</v>
      </c>
    </row>
    <row r="68" spans="1:13">
      <c r="A68" s="10">
        <v>10076</v>
      </c>
      <c r="B68" s="11">
        <v>44715</v>
      </c>
      <c r="C68" t="str">
        <f t="shared" si="6"/>
        <v>Jun</v>
      </c>
      <c r="D68" t="s">
        <v>24</v>
      </c>
      <c r="E68" t="s">
        <v>15</v>
      </c>
      <c r="F68" s="14" t="s">
        <v>14</v>
      </c>
      <c r="G68" s="12">
        <v>199</v>
      </c>
      <c r="H68" s="12">
        <v>39</v>
      </c>
      <c r="I68" s="17">
        <v>157.4</v>
      </c>
      <c r="J68" s="13">
        <v>31322.6</v>
      </c>
      <c r="K68" s="13">
        <v>6138.6</v>
      </c>
      <c r="L68" s="18">
        <f t="shared" si="4"/>
        <v>25184</v>
      </c>
      <c r="M68" s="19">
        <f t="shared" si="5"/>
        <v>0.195979899497487</v>
      </c>
    </row>
    <row r="69" spans="1:13">
      <c r="A69" s="10">
        <v>10077</v>
      </c>
      <c r="B69" s="11">
        <v>44717</v>
      </c>
      <c r="C69" t="str">
        <f t="shared" si="6"/>
        <v>Jun</v>
      </c>
      <c r="D69" t="s">
        <v>23</v>
      </c>
      <c r="E69" t="s">
        <v>18</v>
      </c>
      <c r="F69" s="14" t="s">
        <v>14</v>
      </c>
      <c r="G69" s="12">
        <v>449</v>
      </c>
      <c r="H69" s="12">
        <v>159</v>
      </c>
      <c r="I69" s="17">
        <v>219.3</v>
      </c>
      <c r="J69" s="13">
        <v>98465.7</v>
      </c>
      <c r="K69" s="13">
        <v>34868.7</v>
      </c>
      <c r="L69" s="18">
        <f t="shared" si="4"/>
        <v>63597</v>
      </c>
      <c r="M69" s="19">
        <f t="shared" si="5"/>
        <v>0.354120267260579</v>
      </c>
    </row>
    <row r="70" spans="1:13">
      <c r="A70" s="10">
        <v>10078</v>
      </c>
      <c r="B70" s="11">
        <v>44719</v>
      </c>
      <c r="C70" t="str">
        <f t="shared" si="6"/>
        <v>Jun</v>
      </c>
      <c r="D70" t="s">
        <v>24</v>
      </c>
      <c r="E70" t="s">
        <v>21</v>
      </c>
      <c r="F70" t="s">
        <v>19</v>
      </c>
      <c r="G70" s="12">
        <v>199</v>
      </c>
      <c r="H70" s="12">
        <v>39</v>
      </c>
      <c r="I70" s="17">
        <v>133</v>
      </c>
      <c r="J70" s="13">
        <v>26467</v>
      </c>
      <c r="K70" s="13">
        <v>5187</v>
      </c>
      <c r="L70" s="18">
        <f t="shared" si="4"/>
        <v>21280</v>
      </c>
      <c r="M70" s="19">
        <f t="shared" si="5"/>
        <v>0.195979899497487</v>
      </c>
    </row>
    <row r="71" spans="1:13">
      <c r="A71" s="10">
        <v>10079</v>
      </c>
      <c r="B71" s="11">
        <v>44721</v>
      </c>
      <c r="C71" t="str">
        <f t="shared" si="6"/>
        <v>Jun</v>
      </c>
      <c r="D71" t="s">
        <v>17</v>
      </c>
      <c r="E71" t="s">
        <v>21</v>
      </c>
      <c r="F71" t="s">
        <v>19</v>
      </c>
      <c r="G71" s="12">
        <v>1299</v>
      </c>
      <c r="H71" s="12">
        <v>459</v>
      </c>
      <c r="I71" s="17">
        <v>357.6</v>
      </c>
      <c r="J71" s="13">
        <v>464522.4</v>
      </c>
      <c r="K71" s="13">
        <v>164138.4</v>
      </c>
      <c r="L71" s="18">
        <f t="shared" si="4"/>
        <v>300384</v>
      </c>
      <c r="M71" s="19">
        <f t="shared" si="5"/>
        <v>0.353348729792148</v>
      </c>
    </row>
    <row r="72" spans="1:13">
      <c r="A72" s="10">
        <v>10080</v>
      </c>
      <c r="B72" s="11">
        <v>44723</v>
      </c>
      <c r="C72" t="str">
        <f t="shared" si="6"/>
        <v>Jun</v>
      </c>
      <c r="D72" t="s">
        <v>24</v>
      </c>
      <c r="E72" t="s">
        <v>13</v>
      </c>
      <c r="F72" s="14" t="s">
        <v>14</v>
      </c>
      <c r="G72" s="12">
        <v>199</v>
      </c>
      <c r="H72" s="12">
        <v>39</v>
      </c>
      <c r="I72" s="17">
        <v>400.6</v>
      </c>
      <c r="J72" s="13">
        <v>79719.4</v>
      </c>
      <c r="K72" s="13">
        <v>15623.4</v>
      </c>
      <c r="L72" s="18">
        <f t="shared" si="4"/>
        <v>64096</v>
      </c>
      <c r="M72" s="19">
        <f t="shared" si="5"/>
        <v>0.195979899497487</v>
      </c>
    </row>
    <row r="73" spans="1:13">
      <c r="A73" s="10">
        <v>10081</v>
      </c>
      <c r="B73" s="11">
        <v>44725</v>
      </c>
      <c r="C73" t="str">
        <f t="shared" si="6"/>
        <v>Jun</v>
      </c>
      <c r="D73" t="s">
        <v>24</v>
      </c>
      <c r="E73" t="s">
        <v>21</v>
      </c>
      <c r="F73" t="s">
        <v>16</v>
      </c>
      <c r="G73" s="12">
        <v>199</v>
      </c>
      <c r="H73" s="12">
        <v>39</v>
      </c>
      <c r="I73" s="17">
        <v>433.1</v>
      </c>
      <c r="J73" s="13">
        <v>86186.9</v>
      </c>
      <c r="K73" s="13">
        <v>16890.9</v>
      </c>
      <c r="L73" s="18">
        <f t="shared" si="4"/>
        <v>69296</v>
      </c>
      <c r="M73" s="19">
        <f t="shared" si="5"/>
        <v>0.195979899497487</v>
      </c>
    </row>
    <row r="74" spans="1:13">
      <c r="A74" s="10">
        <v>10082</v>
      </c>
      <c r="B74" s="11">
        <v>44727</v>
      </c>
      <c r="C74" t="str">
        <f t="shared" si="6"/>
        <v>Jun</v>
      </c>
      <c r="D74" t="s">
        <v>12</v>
      </c>
      <c r="E74" t="s">
        <v>15</v>
      </c>
      <c r="F74" t="s">
        <v>16</v>
      </c>
      <c r="G74" s="13">
        <v>1099</v>
      </c>
      <c r="H74" s="13">
        <v>289</v>
      </c>
      <c r="I74" s="17">
        <v>205.9</v>
      </c>
      <c r="J74" s="13">
        <v>226284.1</v>
      </c>
      <c r="K74" s="13">
        <v>59505.1</v>
      </c>
      <c r="L74" s="18">
        <f t="shared" si="4"/>
        <v>166779</v>
      </c>
      <c r="M74" s="19">
        <f t="shared" si="5"/>
        <v>0.262966333030027</v>
      </c>
    </row>
    <row r="75" spans="1:13">
      <c r="A75" s="10">
        <v>10083</v>
      </c>
      <c r="B75" s="11">
        <v>44729</v>
      </c>
      <c r="C75" t="str">
        <f t="shared" si="6"/>
        <v>Jun</v>
      </c>
      <c r="D75" t="s">
        <v>24</v>
      </c>
      <c r="E75" t="s">
        <v>15</v>
      </c>
      <c r="F75" t="s">
        <v>16</v>
      </c>
      <c r="G75" s="12">
        <v>199</v>
      </c>
      <c r="H75" s="12">
        <v>39</v>
      </c>
      <c r="I75" s="17">
        <v>436</v>
      </c>
      <c r="J75" s="13">
        <v>86764</v>
      </c>
      <c r="K75" s="13">
        <v>17004</v>
      </c>
      <c r="L75" s="18">
        <f t="shared" si="4"/>
        <v>69760</v>
      </c>
      <c r="M75" s="19">
        <f t="shared" si="5"/>
        <v>0.195979899497487</v>
      </c>
    </row>
    <row r="76" spans="1:13">
      <c r="A76" s="10">
        <v>10084</v>
      </c>
      <c r="B76" s="11">
        <v>44731</v>
      </c>
      <c r="C76" t="str">
        <f t="shared" si="6"/>
        <v>Jun</v>
      </c>
      <c r="D76" t="s">
        <v>20</v>
      </c>
      <c r="E76" t="s">
        <v>13</v>
      </c>
      <c r="F76" t="s">
        <v>16</v>
      </c>
      <c r="G76" s="12">
        <v>599</v>
      </c>
      <c r="H76" s="12">
        <v>299</v>
      </c>
      <c r="I76" s="17">
        <v>114.7</v>
      </c>
      <c r="J76" s="13">
        <v>68705.3</v>
      </c>
      <c r="K76" s="13">
        <v>34295.3</v>
      </c>
      <c r="L76" s="18">
        <f t="shared" si="4"/>
        <v>34410</v>
      </c>
      <c r="M76" s="19">
        <f t="shared" si="5"/>
        <v>0.499165275459099</v>
      </c>
    </row>
    <row r="77" spans="1:13">
      <c r="A77" s="10">
        <v>10085</v>
      </c>
      <c r="B77" s="11">
        <v>44733</v>
      </c>
      <c r="C77" t="str">
        <f t="shared" si="6"/>
        <v>Jun</v>
      </c>
      <c r="D77" t="s">
        <v>12</v>
      </c>
      <c r="E77" t="s">
        <v>13</v>
      </c>
      <c r="F77" t="s">
        <v>16</v>
      </c>
      <c r="G77" s="13">
        <v>1099</v>
      </c>
      <c r="H77" s="13">
        <v>289</v>
      </c>
      <c r="I77" s="17">
        <v>213.8</v>
      </c>
      <c r="J77" s="13">
        <v>234966.2</v>
      </c>
      <c r="K77" s="13">
        <v>61788.2</v>
      </c>
      <c r="L77" s="18">
        <f t="shared" si="4"/>
        <v>173178</v>
      </c>
      <c r="M77" s="19">
        <f t="shared" si="5"/>
        <v>0.262966333030027</v>
      </c>
    </row>
    <row r="78" spans="1:13">
      <c r="A78" s="10">
        <v>10086</v>
      </c>
      <c r="B78" s="11">
        <v>44735</v>
      </c>
      <c r="C78" t="str">
        <f t="shared" si="6"/>
        <v>Jun</v>
      </c>
      <c r="D78" t="s">
        <v>17</v>
      </c>
      <c r="E78" t="s">
        <v>13</v>
      </c>
      <c r="F78" t="s">
        <v>16</v>
      </c>
      <c r="G78" s="12">
        <v>1299</v>
      </c>
      <c r="H78" s="12">
        <v>459</v>
      </c>
      <c r="I78" s="17">
        <v>124</v>
      </c>
      <c r="J78" s="13">
        <v>161076</v>
      </c>
      <c r="K78" s="13">
        <v>56916</v>
      </c>
      <c r="L78" s="18">
        <f t="shared" si="4"/>
        <v>104160</v>
      </c>
      <c r="M78" s="19">
        <f t="shared" si="5"/>
        <v>0.353348729792148</v>
      </c>
    </row>
    <row r="79" spans="1:13">
      <c r="A79" s="10">
        <v>10087</v>
      </c>
      <c r="B79" s="11">
        <v>44737</v>
      </c>
      <c r="C79" t="str">
        <f t="shared" si="6"/>
        <v>Jun</v>
      </c>
      <c r="D79" t="s">
        <v>24</v>
      </c>
      <c r="E79" t="s">
        <v>15</v>
      </c>
      <c r="F79" t="s">
        <v>16</v>
      </c>
      <c r="G79" s="12">
        <v>199</v>
      </c>
      <c r="H79" s="12">
        <v>39</v>
      </c>
      <c r="I79" s="17">
        <v>285.1</v>
      </c>
      <c r="J79" s="13">
        <v>56734.9</v>
      </c>
      <c r="K79" s="13">
        <v>11118.9</v>
      </c>
      <c r="L79" s="18">
        <f t="shared" si="4"/>
        <v>45616</v>
      </c>
      <c r="M79" s="19">
        <f t="shared" si="5"/>
        <v>0.195979899497487</v>
      </c>
    </row>
    <row r="80" spans="1:13">
      <c r="A80" s="10">
        <v>10088</v>
      </c>
      <c r="B80" s="11">
        <v>44739</v>
      </c>
      <c r="C80" t="str">
        <f t="shared" si="6"/>
        <v>Jun</v>
      </c>
      <c r="D80" t="s">
        <v>24</v>
      </c>
      <c r="E80" t="s">
        <v>21</v>
      </c>
      <c r="F80" t="s">
        <v>16</v>
      </c>
      <c r="G80" s="12">
        <v>199</v>
      </c>
      <c r="H80" s="12">
        <v>39</v>
      </c>
      <c r="I80" s="17">
        <v>228.9</v>
      </c>
      <c r="J80" s="13">
        <v>45551.1</v>
      </c>
      <c r="K80" s="13">
        <v>8927.1</v>
      </c>
      <c r="L80" s="18">
        <f t="shared" si="4"/>
        <v>36624</v>
      </c>
      <c r="M80" s="19">
        <f t="shared" si="5"/>
        <v>0.195979899497487</v>
      </c>
    </row>
    <row r="81" spans="1:13">
      <c r="A81" s="10">
        <v>10089</v>
      </c>
      <c r="B81" s="11">
        <v>44741</v>
      </c>
      <c r="C81" t="str">
        <f t="shared" si="6"/>
        <v>Jun</v>
      </c>
      <c r="D81" t="s">
        <v>24</v>
      </c>
      <c r="E81" t="s">
        <v>15</v>
      </c>
      <c r="F81" t="s">
        <v>16</v>
      </c>
      <c r="G81" s="12">
        <v>199</v>
      </c>
      <c r="H81" s="12">
        <v>39</v>
      </c>
      <c r="I81" s="17">
        <v>361</v>
      </c>
      <c r="J81" s="13">
        <v>71839</v>
      </c>
      <c r="K81" s="13">
        <v>14079</v>
      </c>
      <c r="L81" s="18">
        <f t="shared" si="4"/>
        <v>57760</v>
      </c>
      <c r="M81" s="19">
        <f t="shared" si="5"/>
        <v>0.195979899497487</v>
      </c>
    </row>
    <row r="82" spans="1:13">
      <c r="A82" s="10">
        <v>10090</v>
      </c>
      <c r="B82" s="11">
        <v>44743</v>
      </c>
      <c r="C82" t="str">
        <f t="shared" si="6"/>
        <v>Jul</v>
      </c>
      <c r="D82" t="s">
        <v>12</v>
      </c>
      <c r="E82" t="s">
        <v>15</v>
      </c>
      <c r="F82" s="14" t="s">
        <v>14</v>
      </c>
      <c r="G82" s="13">
        <v>1099</v>
      </c>
      <c r="H82" s="13">
        <v>289</v>
      </c>
      <c r="I82" s="17">
        <v>425.7</v>
      </c>
      <c r="J82" s="13">
        <v>467844.3</v>
      </c>
      <c r="K82" s="13">
        <v>123027.3</v>
      </c>
      <c r="L82" s="18">
        <f t="shared" si="4"/>
        <v>344817</v>
      </c>
      <c r="M82" s="19">
        <f t="shared" si="5"/>
        <v>0.262966333030027</v>
      </c>
    </row>
    <row r="83" spans="1:13">
      <c r="A83" s="10">
        <v>10091</v>
      </c>
      <c r="B83" s="11">
        <v>44745</v>
      </c>
      <c r="C83" t="str">
        <f t="shared" si="6"/>
        <v>Jul</v>
      </c>
      <c r="D83" t="s">
        <v>24</v>
      </c>
      <c r="E83" t="s">
        <v>15</v>
      </c>
      <c r="F83" t="s">
        <v>16</v>
      </c>
      <c r="G83" s="12">
        <v>199</v>
      </c>
      <c r="H83" s="12">
        <v>39</v>
      </c>
      <c r="I83" s="17">
        <v>233.3</v>
      </c>
      <c r="J83" s="13">
        <v>46426.7</v>
      </c>
      <c r="K83" s="13">
        <v>9098.7</v>
      </c>
      <c r="L83" s="18">
        <f t="shared" si="4"/>
        <v>37328</v>
      </c>
      <c r="M83" s="19">
        <f t="shared" si="5"/>
        <v>0.195979899497487</v>
      </c>
    </row>
    <row r="84" spans="1:13">
      <c r="A84" s="10">
        <v>10092</v>
      </c>
      <c r="B84" s="11">
        <v>44747</v>
      </c>
      <c r="C84" t="str">
        <f t="shared" si="6"/>
        <v>Jul</v>
      </c>
      <c r="D84" t="s">
        <v>20</v>
      </c>
      <c r="E84" t="s">
        <v>21</v>
      </c>
      <c r="F84" s="14" t="s">
        <v>14</v>
      </c>
      <c r="G84" s="12">
        <v>599</v>
      </c>
      <c r="H84" s="12">
        <v>299</v>
      </c>
      <c r="I84" s="17">
        <v>381.2</v>
      </c>
      <c r="J84" s="13">
        <v>228338.8</v>
      </c>
      <c r="K84" s="13">
        <v>113978.8</v>
      </c>
      <c r="L84" s="18">
        <f t="shared" si="4"/>
        <v>114360</v>
      </c>
      <c r="M84" s="19">
        <f t="shared" si="5"/>
        <v>0.499165275459099</v>
      </c>
    </row>
    <row r="85" spans="1:13">
      <c r="A85" s="10">
        <v>10093</v>
      </c>
      <c r="B85" s="11">
        <v>44749</v>
      </c>
      <c r="C85" t="str">
        <f t="shared" si="6"/>
        <v>Jul</v>
      </c>
      <c r="D85" t="s">
        <v>17</v>
      </c>
      <c r="E85" s="14" t="s">
        <v>18</v>
      </c>
      <c r="F85" t="s">
        <v>16</v>
      </c>
      <c r="G85" s="12">
        <v>1299</v>
      </c>
      <c r="H85" s="12">
        <v>459</v>
      </c>
      <c r="I85" s="17">
        <v>415.3</v>
      </c>
      <c r="J85" s="13">
        <v>539474.7</v>
      </c>
      <c r="K85" s="13">
        <v>190622.7</v>
      </c>
      <c r="L85" s="18">
        <f t="shared" si="4"/>
        <v>348852</v>
      </c>
      <c r="M85" s="19">
        <f t="shared" si="5"/>
        <v>0.353348729792148</v>
      </c>
    </row>
    <row r="86" spans="1:13">
      <c r="A86" s="10">
        <v>10094</v>
      </c>
      <c r="B86" s="11">
        <v>44751</v>
      </c>
      <c r="C86" t="str">
        <f t="shared" si="6"/>
        <v>Jul</v>
      </c>
      <c r="D86" t="s">
        <v>12</v>
      </c>
      <c r="E86" s="14" t="s">
        <v>18</v>
      </c>
      <c r="F86" t="s">
        <v>19</v>
      </c>
      <c r="G86" s="13">
        <v>1099</v>
      </c>
      <c r="H86" s="13">
        <v>289</v>
      </c>
      <c r="I86" s="17">
        <v>250.4</v>
      </c>
      <c r="J86" s="13">
        <v>275189.6</v>
      </c>
      <c r="K86" s="13">
        <v>72365.6</v>
      </c>
      <c r="L86" s="18">
        <f t="shared" si="4"/>
        <v>202824</v>
      </c>
      <c r="M86" s="19">
        <f t="shared" si="5"/>
        <v>0.262966333030027</v>
      </c>
    </row>
    <row r="87" spans="1:13">
      <c r="A87" s="10">
        <v>10095</v>
      </c>
      <c r="B87" s="11">
        <v>44753</v>
      </c>
      <c r="C87" t="str">
        <f t="shared" si="6"/>
        <v>Jul</v>
      </c>
      <c r="D87" t="s">
        <v>23</v>
      </c>
      <c r="E87" s="14" t="s">
        <v>18</v>
      </c>
      <c r="F87" t="s">
        <v>22</v>
      </c>
      <c r="G87" s="12">
        <v>449</v>
      </c>
      <c r="H87" s="12">
        <v>159</v>
      </c>
      <c r="I87" s="17">
        <v>280.1</v>
      </c>
      <c r="J87" s="13">
        <v>125764.9</v>
      </c>
      <c r="K87" s="13">
        <v>44535.9</v>
      </c>
      <c r="L87" s="18">
        <f t="shared" si="4"/>
        <v>81229</v>
      </c>
      <c r="M87" s="19">
        <f t="shared" si="5"/>
        <v>0.354120267260579</v>
      </c>
    </row>
    <row r="88" spans="1:13">
      <c r="A88" s="10">
        <v>10096</v>
      </c>
      <c r="B88" s="11">
        <v>44755</v>
      </c>
      <c r="C88" t="str">
        <f t="shared" si="6"/>
        <v>Jul</v>
      </c>
      <c r="D88" t="s">
        <v>24</v>
      </c>
      <c r="E88" s="14" t="s">
        <v>18</v>
      </c>
      <c r="F88" t="s">
        <v>16</v>
      </c>
      <c r="G88" s="12">
        <v>199</v>
      </c>
      <c r="H88" s="12">
        <v>39</v>
      </c>
      <c r="I88" s="17">
        <v>214.9</v>
      </c>
      <c r="J88" s="13">
        <v>42765.1</v>
      </c>
      <c r="K88" s="13">
        <v>8381.1</v>
      </c>
      <c r="L88" s="18">
        <f t="shared" si="4"/>
        <v>34384</v>
      </c>
      <c r="M88" s="19">
        <f t="shared" si="5"/>
        <v>0.195979899497487</v>
      </c>
    </row>
    <row r="89" spans="1:13">
      <c r="A89" s="10">
        <v>10097</v>
      </c>
      <c r="B89" s="11">
        <v>44757</v>
      </c>
      <c r="C89" t="str">
        <f t="shared" si="6"/>
        <v>Jul</v>
      </c>
      <c r="D89" t="s">
        <v>20</v>
      </c>
      <c r="E89" s="14" t="s">
        <v>18</v>
      </c>
      <c r="F89" t="s">
        <v>16</v>
      </c>
      <c r="G89" s="12">
        <v>599</v>
      </c>
      <c r="H89" s="12">
        <v>299</v>
      </c>
      <c r="I89" s="17">
        <v>319.2</v>
      </c>
      <c r="J89" s="13">
        <v>191200.8</v>
      </c>
      <c r="K89" s="13">
        <v>95440.8</v>
      </c>
      <c r="L89" s="18">
        <f t="shared" si="4"/>
        <v>95760</v>
      </c>
      <c r="M89" s="19">
        <f t="shared" si="5"/>
        <v>0.499165275459099</v>
      </c>
    </row>
    <row r="90" spans="1:13">
      <c r="A90" s="10">
        <v>10098</v>
      </c>
      <c r="B90" s="11">
        <v>44759</v>
      </c>
      <c r="C90" t="str">
        <f t="shared" si="6"/>
        <v>Jul</v>
      </c>
      <c r="D90" t="s">
        <v>17</v>
      </c>
      <c r="E90" t="s">
        <v>15</v>
      </c>
      <c r="F90" t="s">
        <v>22</v>
      </c>
      <c r="G90" s="12">
        <v>1299</v>
      </c>
      <c r="H90" s="12">
        <v>459</v>
      </c>
      <c r="I90" s="17">
        <v>209.9</v>
      </c>
      <c r="J90" s="13">
        <v>272660.1</v>
      </c>
      <c r="K90" s="13">
        <v>96344.1</v>
      </c>
      <c r="L90" s="18">
        <f t="shared" si="4"/>
        <v>176316</v>
      </c>
      <c r="M90" s="19">
        <f t="shared" si="5"/>
        <v>0.353348729792148</v>
      </c>
    </row>
    <row r="91" spans="1:13">
      <c r="A91" s="10">
        <v>10099</v>
      </c>
      <c r="B91" s="11">
        <v>44761</v>
      </c>
      <c r="C91" t="str">
        <f t="shared" si="6"/>
        <v>Jul</v>
      </c>
      <c r="D91" t="s">
        <v>12</v>
      </c>
      <c r="E91" s="14" t="s">
        <v>13</v>
      </c>
      <c r="F91" t="s">
        <v>16</v>
      </c>
      <c r="G91" s="13">
        <v>1099</v>
      </c>
      <c r="H91" s="13">
        <v>289</v>
      </c>
      <c r="I91" s="17">
        <v>197.9</v>
      </c>
      <c r="J91" s="13">
        <v>217492.1</v>
      </c>
      <c r="K91" s="13">
        <v>57193.1</v>
      </c>
      <c r="L91" s="18">
        <f t="shared" si="4"/>
        <v>160299</v>
      </c>
      <c r="M91" s="19">
        <f t="shared" si="5"/>
        <v>0.262966333030027</v>
      </c>
    </row>
    <row r="92" spans="1:13">
      <c r="A92" s="10">
        <v>10100</v>
      </c>
      <c r="B92" s="11">
        <v>44763</v>
      </c>
      <c r="C92" t="str">
        <f t="shared" si="6"/>
        <v>Jul</v>
      </c>
      <c r="D92" t="s">
        <v>12</v>
      </c>
      <c r="E92" t="s">
        <v>13</v>
      </c>
      <c r="F92" t="s">
        <v>16</v>
      </c>
      <c r="G92" s="13">
        <v>1099</v>
      </c>
      <c r="H92" s="13">
        <v>289</v>
      </c>
      <c r="I92" s="17">
        <v>122.2</v>
      </c>
      <c r="J92" s="13">
        <v>134297.8</v>
      </c>
      <c r="K92" s="13">
        <v>35315.8</v>
      </c>
      <c r="L92" s="18">
        <f t="shared" si="4"/>
        <v>98982</v>
      </c>
      <c r="M92" s="19">
        <f t="shared" si="5"/>
        <v>0.262966333030027</v>
      </c>
    </row>
    <row r="93" spans="1:13">
      <c r="A93" s="10">
        <v>10101</v>
      </c>
      <c r="B93" s="11">
        <v>44765</v>
      </c>
      <c r="C93" t="str">
        <f t="shared" si="6"/>
        <v>Jul</v>
      </c>
      <c r="D93" t="s">
        <v>24</v>
      </c>
      <c r="E93" t="s">
        <v>15</v>
      </c>
      <c r="F93" t="s">
        <v>16</v>
      </c>
      <c r="G93" s="12">
        <v>199</v>
      </c>
      <c r="H93" s="12">
        <v>39</v>
      </c>
      <c r="I93" s="17">
        <v>379.3</v>
      </c>
      <c r="J93" s="13">
        <v>75480.7</v>
      </c>
      <c r="K93" s="13">
        <v>14792.7</v>
      </c>
      <c r="L93" s="18">
        <f t="shared" si="4"/>
        <v>60688</v>
      </c>
      <c r="M93" s="19">
        <f t="shared" si="5"/>
        <v>0.195979899497487</v>
      </c>
    </row>
    <row r="94" spans="1:13">
      <c r="A94" s="10">
        <v>10102</v>
      </c>
      <c r="B94" s="11">
        <v>44767</v>
      </c>
      <c r="C94" t="str">
        <f t="shared" si="6"/>
        <v>Jul</v>
      </c>
      <c r="D94" t="s">
        <v>23</v>
      </c>
      <c r="E94" t="s">
        <v>18</v>
      </c>
      <c r="F94" t="s">
        <v>22</v>
      </c>
      <c r="G94" s="12">
        <v>449</v>
      </c>
      <c r="H94" s="12">
        <v>159</v>
      </c>
      <c r="I94" s="17">
        <v>120.8</v>
      </c>
      <c r="J94" s="13">
        <v>54239.2</v>
      </c>
      <c r="K94" s="13">
        <v>19207.2</v>
      </c>
      <c r="L94" s="18">
        <f t="shared" si="4"/>
        <v>35032</v>
      </c>
      <c r="M94" s="19">
        <f t="shared" si="5"/>
        <v>0.354120267260579</v>
      </c>
    </row>
    <row r="95" spans="1:13">
      <c r="A95" s="10">
        <v>10103</v>
      </c>
      <c r="B95" s="11">
        <v>44769</v>
      </c>
      <c r="C95" t="str">
        <f t="shared" si="6"/>
        <v>Jul</v>
      </c>
      <c r="D95" t="s">
        <v>23</v>
      </c>
      <c r="E95" t="s">
        <v>21</v>
      </c>
      <c r="F95" t="s">
        <v>16</v>
      </c>
      <c r="G95" s="12">
        <v>449</v>
      </c>
      <c r="H95" s="12">
        <v>159</v>
      </c>
      <c r="I95" s="17">
        <v>454.3</v>
      </c>
      <c r="J95" s="13">
        <v>203980.7</v>
      </c>
      <c r="K95" s="13">
        <v>72233.7</v>
      </c>
      <c r="L95" s="18">
        <f t="shared" si="4"/>
        <v>131747</v>
      </c>
      <c r="M95" s="19">
        <f t="shared" si="5"/>
        <v>0.354120267260579</v>
      </c>
    </row>
    <row r="96" spans="1:13">
      <c r="A96" s="10">
        <v>10104</v>
      </c>
      <c r="B96" s="11">
        <v>44771</v>
      </c>
      <c r="C96" t="str">
        <f t="shared" si="6"/>
        <v>Jul</v>
      </c>
      <c r="D96" t="s">
        <v>12</v>
      </c>
      <c r="E96" t="s">
        <v>21</v>
      </c>
      <c r="F96" t="s">
        <v>22</v>
      </c>
      <c r="G96" s="12">
        <v>199</v>
      </c>
      <c r="H96" s="12">
        <v>39</v>
      </c>
      <c r="I96" s="17">
        <v>245.8</v>
      </c>
      <c r="J96" s="13">
        <v>48914.2</v>
      </c>
      <c r="K96" s="13">
        <v>9586.2</v>
      </c>
      <c r="L96" s="18">
        <f t="shared" si="4"/>
        <v>39328</v>
      </c>
      <c r="M96" s="19">
        <f t="shared" si="5"/>
        <v>0.195979899497487</v>
      </c>
    </row>
    <row r="97" spans="1:13">
      <c r="A97" s="10">
        <v>10105</v>
      </c>
      <c r="B97" s="11">
        <v>44773</v>
      </c>
      <c r="C97" t="str">
        <f t="shared" si="6"/>
        <v>Jul</v>
      </c>
      <c r="D97" t="s">
        <v>12</v>
      </c>
      <c r="E97" t="s">
        <v>21</v>
      </c>
      <c r="F97" t="s">
        <v>22</v>
      </c>
      <c r="G97" s="12">
        <v>199</v>
      </c>
      <c r="H97" s="12">
        <v>39</v>
      </c>
      <c r="I97" s="17">
        <v>315.1</v>
      </c>
      <c r="J97" s="13">
        <v>62704.9</v>
      </c>
      <c r="K97" s="13">
        <v>12288.9</v>
      </c>
      <c r="L97" s="18">
        <f t="shared" si="4"/>
        <v>50416</v>
      </c>
      <c r="M97" s="19">
        <f t="shared" si="5"/>
        <v>0.195979899497487</v>
      </c>
    </row>
    <row r="98" spans="1:13">
      <c r="A98" s="10">
        <v>10106</v>
      </c>
      <c r="B98" s="11">
        <v>44775</v>
      </c>
      <c r="C98" t="str">
        <f t="shared" si="6"/>
        <v>Aug</v>
      </c>
      <c r="D98" t="s">
        <v>17</v>
      </c>
      <c r="E98" t="s">
        <v>21</v>
      </c>
      <c r="F98" t="s">
        <v>22</v>
      </c>
      <c r="G98" s="13">
        <v>1099</v>
      </c>
      <c r="H98" s="13">
        <v>289</v>
      </c>
      <c r="I98" s="17">
        <v>142.4</v>
      </c>
      <c r="J98" s="13">
        <v>156497.6</v>
      </c>
      <c r="K98" s="13">
        <v>41153.6</v>
      </c>
      <c r="L98" s="18">
        <f t="shared" si="4"/>
        <v>115344</v>
      </c>
      <c r="M98" s="19">
        <f t="shared" si="5"/>
        <v>0.262966333030027</v>
      </c>
    </row>
    <row r="99" spans="1:13">
      <c r="A99" s="10">
        <v>10107</v>
      </c>
      <c r="B99" s="11">
        <v>44777</v>
      </c>
      <c r="C99" t="str">
        <f t="shared" ref="C99:C130" si="7">TEXT(B99,"MMM")</f>
        <v>Aug</v>
      </c>
      <c r="D99" t="s">
        <v>20</v>
      </c>
      <c r="E99" t="s">
        <v>13</v>
      </c>
      <c r="F99" s="14" t="s">
        <v>19</v>
      </c>
      <c r="G99" s="12">
        <v>449</v>
      </c>
      <c r="H99" s="12">
        <v>159</v>
      </c>
      <c r="I99" s="17">
        <v>311</v>
      </c>
      <c r="J99" s="13">
        <v>139639</v>
      </c>
      <c r="K99" s="13">
        <v>49449</v>
      </c>
      <c r="L99" s="18">
        <f t="shared" si="4"/>
        <v>90190</v>
      </c>
      <c r="M99" s="19">
        <f t="shared" si="5"/>
        <v>0.354120267260579</v>
      </c>
    </row>
    <row r="100" spans="1:13">
      <c r="A100" s="10">
        <v>10108</v>
      </c>
      <c r="B100" s="11">
        <v>44777</v>
      </c>
      <c r="C100" t="str">
        <f t="shared" si="7"/>
        <v>Aug</v>
      </c>
      <c r="D100" t="s">
        <v>23</v>
      </c>
      <c r="E100" t="s">
        <v>15</v>
      </c>
      <c r="F100" s="14" t="s">
        <v>19</v>
      </c>
      <c r="G100" s="12">
        <v>599</v>
      </c>
      <c r="H100" s="12">
        <v>299</v>
      </c>
      <c r="I100" s="17">
        <v>378.2</v>
      </c>
      <c r="J100" s="13">
        <v>226541.8</v>
      </c>
      <c r="K100" s="13">
        <v>113081.8</v>
      </c>
      <c r="L100" s="18">
        <f t="shared" si="4"/>
        <v>113460</v>
      </c>
      <c r="M100" s="19">
        <f t="shared" si="5"/>
        <v>0.499165275459099</v>
      </c>
    </row>
    <row r="101" spans="1:13">
      <c r="A101" s="10">
        <v>10109</v>
      </c>
      <c r="B101" s="11">
        <v>44777</v>
      </c>
      <c r="C101" t="str">
        <f t="shared" si="7"/>
        <v>Aug</v>
      </c>
      <c r="D101" t="s">
        <v>24</v>
      </c>
      <c r="E101" t="s">
        <v>18</v>
      </c>
      <c r="F101" t="s">
        <v>22</v>
      </c>
      <c r="G101" s="12">
        <v>449</v>
      </c>
      <c r="H101" s="12">
        <v>159</v>
      </c>
      <c r="I101" s="17">
        <v>291.9</v>
      </c>
      <c r="J101" s="13">
        <v>131063.1</v>
      </c>
      <c r="K101" s="13">
        <v>46412.1</v>
      </c>
      <c r="L101" s="18">
        <f t="shared" si="4"/>
        <v>84651</v>
      </c>
      <c r="M101" s="19">
        <f t="shared" si="5"/>
        <v>0.354120267260579</v>
      </c>
    </row>
    <row r="102" spans="1:13">
      <c r="A102" s="10">
        <v>10110</v>
      </c>
      <c r="B102" s="11">
        <v>44777</v>
      </c>
      <c r="C102" t="str">
        <f t="shared" si="7"/>
        <v>Aug</v>
      </c>
      <c r="D102" t="s">
        <v>24</v>
      </c>
      <c r="E102" t="s">
        <v>18</v>
      </c>
      <c r="F102" t="s">
        <v>14</v>
      </c>
      <c r="G102" s="13">
        <v>1099</v>
      </c>
      <c r="H102" s="13">
        <v>289</v>
      </c>
      <c r="I102" s="17">
        <v>479.3</v>
      </c>
      <c r="J102" s="13">
        <v>526750.7</v>
      </c>
      <c r="K102" s="13">
        <v>138517.7</v>
      </c>
      <c r="L102" s="18">
        <f t="shared" si="4"/>
        <v>388233</v>
      </c>
      <c r="M102" s="19">
        <f t="shared" si="5"/>
        <v>0.262966333030027</v>
      </c>
    </row>
    <row r="103" spans="1:13">
      <c r="A103" s="10">
        <v>10111</v>
      </c>
      <c r="B103" s="11">
        <v>44777</v>
      </c>
      <c r="C103" t="str">
        <f t="shared" si="7"/>
        <v>Aug</v>
      </c>
      <c r="D103" t="s">
        <v>24</v>
      </c>
      <c r="E103" t="s">
        <v>18</v>
      </c>
      <c r="F103" t="s">
        <v>16</v>
      </c>
      <c r="G103" s="12">
        <v>449</v>
      </c>
      <c r="H103" s="12">
        <v>159</v>
      </c>
      <c r="I103" s="17">
        <v>115.1</v>
      </c>
      <c r="J103" s="13">
        <v>51679.9</v>
      </c>
      <c r="K103" s="13">
        <v>18300.9</v>
      </c>
      <c r="L103" s="18">
        <f t="shared" si="4"/>
        <v>33379</v>
      </c>
      <c r="M103" s="19">
        <f t="shared" si="5"/>
        <v>0.354120267260579</v>
      </c>
    </row>
    <row r="104" spans="1:13">
      <c r="A104" s="10">
        <v>10112</v>
      </c>
      <c r="B104" s="11">
        <v>44777</v>
      </c>
      <c r="C104" t="str">
        <f t="shared" si="7"/>
        <v>Aug</v>
      </c>
      <c r="D104" t="s">
        <v>12</v>
      </c>
      <c r="E104" t="s">
        <v>13</v>
      </c>
      <c r="F104" t="s">
        <v>19</v>
      </c>
      <c r="G104" s="13">
        <v>1099</v>
      </c>
      <c r="H104" s="13">
        <v>289</v>
      </c>
      <c r="I104" s="17">
        <v>347.8</v>
      </c>
      <c r="J104" s="13">
        <v>382232.2</v>
      </c>
      <c r="K104" s="13">
        <v>100514.2</v>
      </c>
      <c r="L104" s="18">
        <f t="shared" si="4"/>
        <v>281718</v>
      </c>
      <c r="M104" s="19">
        <f t="shared" si="5"/>
        <v>0.262966333030027</v>
      </c>
    </row>
    <row r="105" spans="1:13">
      <c r="A105" s="10">
        <v>10113</v>
      </c>
      <c r="B105" s="11">
        <v>44777</v>
      </c>
      <c r="C105" t="str">
        <f t="shared" si="7"/>
        <v>Aug</v>
      </c>
      <c r="D105" t="s">
        <v>17</v>
      </c>
      <c r="E105" t="s">
        <v>15</v>
      </c>
      <c r="F105" t="s">
        <v>22</v>
      </c>
      <c r="G105" s="12">
        <v>1299</v>
      </c>
      <c r="H105" s="12">
        <v>459</v>
      </c>
      <c r="I105" s="17">
        <v>222.4</v>
      </c>
      <c r="J105" s="13">
        <v>288897.6</v>
      </c>
      <c r="K105" s="13">
        <v>102081.6</v>
      </c>
      <c r="L105" s="18">
        <f t="shared" si="4"/>
        <v>186816</v>
      </c>
      <c r="M105" s="19">
        <f t="shared" si="5"/>
        <v>0.353348729792148</v>
      </c>
    </row>
    <row r="106" spans="1:13">
      <c r="A106" s="10">
        <v>10114</v>
      </c>
      <c r="B106" s="11">
        <v>44777</v>
      </c>
      <c r="C106" t="str">
        <f t="shared" si="7"/>
        <v>Aug</v>
      </c>
      <c r="D106" t="s">
        <v>17</v>
      </c>
      <c r="E106" t="s">
        <v>18</v>
      </c>
      <c r="F106" t="s">
        <v>19</v>
      </c>
      <c r="G106" s="13">
        <v>1099</v>
      </c>
      <c r="H106" s="13">
        <v>289</v>
      </c>
      <c r="I106" s="17">
        <v>276.5</v>
      </c>
      <c r="J106" s="13">
        <v>303873.5</v>
      </c>
      <c r="K106" s="13">
        <v>79908.5</v>
      </c>
      <c r="L106" s="18">
        <f t="shared" si="4"/>
        <v>223965</v>
      </c>
      <c r="M106" s="19">
        <f t="shared" si="5"/>
        <v>0.262966333030027</v>
      </c>
    </row>
    <row r="107" spans="1:13">
      <c r="A107" s="10">
        <v>10115</v>
      </c>
      <c r="B107" s="11">
        <v>44777</v>
      </c>
      <c r="C107" t="str">
        <f t="shared" si="7"/>
        <v>Aug</v>
      </c>
      <c r="D107" t="s">
        <v>24</v>
      </c>
      <c r="E107" t="s">
        <v>18</v>
      </c>
      <c r="F107" t="s">
        <v>19</v>
      </c>
      <c r="G107" s="13">
        <v>1099</v>
      </c>
      <c r="H107" s="13">
        <v>289</v>
      </c>
      <c r="I107" s="17">
        <v>151.2</v>
      </c>
      <c r="J107" s="13">
        <v>166168.8</v>
      </c>
      <c r="K107" s="13">
        <v>43696.8</v>
      </c>
      <c r="L107" s="18">
        <f t="shared" si="4"/>
        <v>122472</v>
      </c>
      <c r="M107" s="19">
        <f t="shared" si="5"/>
        <v>0.262966333030027</v>
      </c>
    </row>
    <row r="108" spans="1:13">
      <c r="A108" s="10">
        <v>10116</v>
      </c>
      <c r="B108" s="11">
        <v>44777</v>
      </c>
      <c r="C108" t="str">
        <f t="shared" si="7"/>
        <v>Aug</v>
      </c>
      <c r="D108" t="s">
        <v>12</v>
      </c>
      <c r="E108" t="s">
        <v>18</v>
      </c>
      <c r="F108" t="s">
        <v>14</v>
      </c>
      <c r="G108" s="12">
        <v>199</v>
      </c>
      <c r="H108" s="12">
        <v>39</v>
      </c>
      <c r="I108" s="17">
        <v>171.6</v>
      </c>
      <c r="J108" s="13">
        <v>34148.4</v>
      </c>
      <c r="K108" s="13">
        <v>6692.4</v>
      </c>
      <c r="L108" s="18">
        <f t="shared" si="4"/>
        <v>27456</v>
      </c>
      <c r="M108" s="19">
        <f t="shared" si="5"/>
        <v>0.195979899497487</v>
      </c>
    </row>
    <row r="109" spans="1:13">
      <c r="A109" s="10">
        <v>10117</v>
      </c>
      <c r="B109" s="11">
        <v>44777</v>
      </c>
      <c r="C109" t="str">
        <f t="shared" si="7"/>
        <v>Aug</v>
      </c>
      <c r="D109" t="s">
        <v>23</v>
      </c>
      <c r="E109" t="s">
        <v>13</v>
      </c>
      <c r="F109" t="s">
        <v>19</v>
      </c>
      <c r="G109" s="12">
        <v>599</v>
      </c>
      <c r="H109" s="12">
        <v>299</v>
      </c>
      <c r="I109" s="17">
        <v>365.4</v>
      </c>
      <c r="J109" s="13">
        <v>218874.6</v>
      </c>
      <c r="K109" s="13">
        <v>109254.6</v>
      </c>
      <c r="L109" s="18">
        <f t="shared" si="4"/>
        <v>109620</v>
      </c>
      <c r="M109" s="19">
        <f t="shared" si="5"/>
        <v>0.499165275459098</v>
      </c>
    </row>
    <row r="110" spans="1:13">
      <c r="A110" s="10">
        <v>10118</v>
      </c>
      <c r="B110" s="11">
        <v>44777</v>
      </c>
      <c r="C110" t="str">
        <f t="shared" si="7"/>
        <v>Aug</v>
      </c>
      <c r="D110" t="s">
        <v>20</v>
      </c>
      <c r="E110" t="s">
        <v>18</v>
      </c>
      <c r="F110" t="s">
        <v>19</v>
      </c>
      <c r="G110" s="12">
        <v>1299</v>
      </c>
      <c r="H110" s="12">
        <v>459</v>
      </c>
      <c r="I110" s="17">
        <v>156.1</v>
      </c>
      <c r="J110" s="13">
        <v>202773.9</v>
      </c>
      <c r="K110" s="13">
        <v>71649.9</v>
      </c>
      <c r="L110" s="18">
        <f t="shared" si="4"/>
        <v>131124</v>
      </c>
      <c r="M110" s="19">
        <f t="shared" si="5"/>
        <v>0.353348729792148</v>
      </c>
    </row>
    <row r="111" spans="1:13">
      <c r="A111" s="10">
        <v>10119</v>
      </c>
      <c r="B111" s="11">
        <v>44777</v>
      </c>
      <c r="C111" t="str">
        <f t="shared" si="7"/>
        <v>Aug</v>
      </c>
      <c r="D111" t="s">
        <v>23</v>
      </c>
      <c r="E111" t="s">
        <v>18</v>
      </c>
      <c r="F111" s="14" t="s">
        <v>14</v>
      </c>
      <c r="G111" s="12">
        <v>1299</v>
      </c>
      <c r="H111" s="12">
        <v>459</v>
      </c>
      <c r="I111" s="17">
        <v>208.3</v>
      </c>
      <c r="J111" s="13">
        <v>270581.7</v>
      </c>
      <c r="K111" s="13">
        <v>95609.7</v>
      </c>
      <c r="L111" s="18">
        <f t="shared" si="4"/>
        <v>174972</v>
      </c>
      <c r="M111" s="19">
        <f t="shared" si="5"/>
        <v>0.353348729792148</v>
      </c>
    </row>
    <row r="112" spans="1:13">
      <c r="A112" s="10">
        <v>10120</v>
      </c>
      <c r="B112" s="11">
        <v>44779</v>
      </c>
      <c r="C112" t="str">
        <f t="shared" si="7"/>
        <v>Aug</v>
      </c>
      <c r="D112" t="s">
        <v>12</v>
      </c>
      <c r="E112" t="s">
        <v>18</v>
      </c>
      <c r="F112" s="14" t="s">
        <v>14</v>
      </c>
      <c r="G112" s="12">
        <v>1299</v>
      </c>
      <c r="H112" s="12">
        <v>459</v>
      </c>
      <c r="I112" s="17">
        <v>267.3</v>
      </c>
      <c r="J112" s="13">
        <v>347222.7</v>
      </c>
      <c r="K112" s="13">
        <v>122690.7</v>
      </c>
      <c r="L112" s="18">
        <f t="shared" si="4"/>
        <v>224532</v>
      </c>
      <c r="M112" s="19">
        <f t="shared" si="5"/>
        <v>0.353348729792148</v>
      </c>
    </row>
    <row r="113" spans="1:13">
      <c r="A113" s="10">
        <v>10121</v>
      </c>
      <c r="B113" s="11">
        <v>44781</v>
      </c>
      <c r="C113" t="str">
        <f t="shared" si="7"/>
        <v>Aug</v>
      </c>
      <c r="D113" t="s">
        <v>23</v>
      </c>
      <c r="E113" t="s">
        <v>13</v>
      </c>
      <c r="F113" s="14" t="s">
        <v>14</v>
      </c>
      <c r="G113" s="12">
        <v>599</v>
      </c>
      <c r="H113" s="12">
        <v>299</v>
      </c>
      <c r="I113" s="17">
        <v>338.5</v>
      </c>
      <c r="J113" s="13">
        <v>202761.5</v>
      </c>
      <c r="K113" s="13">
        <v>101211.5</v>
      </c>
      <c r="L113" s="18">
        <f t="shared" si="4"/>
        <v>101550</v>
      </c>
      <c r="M113" s="19">
        <f t="shared" si="5"/>
        <v>0.499165275459099</v>
      </c>
    </row>
    <row r="114" spans="1:13">
      <c r="A114" s="10">
        <v>10122</v>
      </c>
      <c r="B114" s="11">
        <v>44783</v>
      </c>
      <c r="C114" t="str">
        <f t="shared" si="7"/>
        <v>Aug</v>
      </c>
      <c r="D114" t="s">
        <v>12</v>
      </c>
      <c r="E114" t="s">
        <v>13</v>
      </c>
      <c r="F114" s="14" t="s">
        <v>14</v>
      </c>
      <c r="G114" s="13">
        <v>1099</v>
      </c>
      <c r="H114" s="13">
        <v>289</v>
      </c>
      <c r="I114" s="17">
        <v>321.8</v>
      </c>
      <c r="J114" s="13">
        <v>353658.2</v>
      </c>
      <c r="K114" s="13">
        <v>93000.2</v>
      </c>
      <c r="L114" s="18">
        <f t="shared" si="4"/>
        <v>260658</v>
      </c>
      <c r="M114" s="19">
        <f t="shared" si="5"/>
        <v>0.262966333030027</v>
      </c>
    </row>
    <row r="115" spans="1:13">
      <c r="A115" s="10">
        <v>10123</v>
      </c>
      <c r="B115" s="11">
        <v>44785</v>
      </c>
      <c r="C115" t="str">
        <f t="shared" si="7"/>
        <v>Aug</v>
      </c>
      <c r="D115" t="s">
        <v>17</v>
      </c>
      <c r="E115" t="s">
        <v>15</v>
      </c>
      <c r="F115" s="14" t="s">
        <v>14</v>
      </c>
      <c r="G115" s="12">
        <v>199</v>
      </c>
      <c r="H115" s="12">
        <v>39</v>
      </c>
      <c r="I115" s="17">
        <v>368.7</v>
      </c>
      <c r="J115" s="13">
        <v>73371.3</v>
      </c>
      <c r="K115" s="13">
        <v>14379.3</v>
      </c>
      <c r="L115" s="18">
        <f t="shared" si="4"/>
        <v>58992</v>
      </c>
      <c r="M115" s="19">
        <f t="shared" si="5"/>
        <v>0.195979899497487</v>
      </c>
    </row>
    <row r="116" spans="1:13">
      <c r="A116" s="10">
        <v>10124</v>
      </c>
      <c r="B116" s="11">
        <v>44787</v>
      </c>
      <c r="C116" t="str">
        <f t="shared" si="7"/>
        <v>Aug</v>
      </c>
      <c r="D116" t="s">
        <v>12</v>
      </c>
      <c r="E116" t="s">
        <v>15</v>
      </c>
      <c r="F116" s="14" t="s">
        <v>14</v>
      </c>
      <c r="G116" s="12">
        <v>1299</v>
      </c>
      <c r="H116" s="12">
        <v>459</v>
      </c>
      <c r="I116" s="17">
        <v>126.9</v>
      </c>
      <c r="J116" s="13">
        <v>164843.1</v>
      </c>
      <c r="K116" s="13">
        <v>58247.1</v>
      </c>
      <c r="L116" s="18">
        <f t="shared" si="4"/>
        <v>106596</v>
      </c>
      <c r="M116" s="19">
        <f t="shared" si="5"/>
        <v>0.353348729792148</v>
      </c>
    </row>
    <row r="117" spans="1:13">
      <c r="A117" s="10">
        <v>10125</v>
      </c>
      <c r="B117" s="11">
        <v>44789</v>
      </c>
      <c r="C117" t="str">
        <f t="shared" si="7"/>
        <v>Aug</v>
      </c>
      <c r="D117" t="s">
        <v>12</v>
      </c>
      <c r="E117" t="s">
        <v>13</v>
      </c>
      <c r="F117" t="s">
        <v>22</v>
      </c>
      <c r="G117" s="12">
        <v>599</v>
      </c>
      <c r="H117" s="12">
        <v>299</v>
      </c>
      <c r="I117" s="17">
        <v>390</v>
      </c>
      <c r="J117" s="13">
        <v>233610</v>
      </c>
      <c r="K117" s="13">
        <v>116610</v>
      </c>
      <c r="L117" s="18">
        <f t="shared" si="4"/>
        <v>117000</v>
      </c>
      <c r="M117" s="19">
        <f t="shared" si="5"/>
        <v>0.499165275459099</v>
      </c>
    </row>
    <row r="118" spans="1:13">
      <c r="A118" s="10">
        <v>10126</v>
      </c>
      <c r="B118" s="11">
        <v>44791</v>
      </c>
      <c r="C118" t="str">
        <f t="shared" si="7"/>
        <v>Aug</v>
      </c>
      <c r="D118" t="s">
        <v>24</v>
      </c>
      <c r="E118" t="s">
        <v>15</v>
      </c>
      <c r="F118" t="s">
        <v>22</v>
      </c>
      <c r="G118" s="12">
        <v>1299</v>
      </c>
      <c r="H118" s="12">
        <v>459</v>
      </c>
      <c r="I118" s="17">
        <v>388.3</v>
      </c>
      <c r="J118" s="13">
        <v>504401.7</v>
      </c>
      <c r="K118" s="13">
        <v>178229.7</v>
      </c>
      <c r="L118" s="18">
        <f t="shared" si="4"/>
        <v>326172</v>
      </c>
      <c r="M118" s="19">
        <f t="shared" si="5"/>
        <v>0.353348729792148</v>
      </c>
    </row>
    <row r="119" spans="1:13">
      <c r="A119" s="10">
        <v>10127</v>
      </c>
      <c r="B119" s="11">
        <v>44793</v>
      </c>
      <c r="C119" t="str">
        <f t="shared" si="7"/>
        <v>Aug</v>
      </c>
      <c r="D119" t="s">
        <v>20</v>
      </c>
      <c r="E119" t="s">
        <v>15</v>
      </c>
      <c r="F119" t="s">
        <v>16</v>
      </c>
      <c r="G119" s="12">
        <v>1299</v>
      </c>
      <c r="H119" s="12">
        <v>459</v>
      </c>
      <c r="I119" s="17">
        <v>112</v>
      </c>
      <c r="J119" s="13">
        <v>145488</v>
      </c>
      <c r="K119" s="13">
        <v>51408</v>
      </c>
      <c r="L119" s="18">
        <f t="shared" si="4"/>
        <v>94080</v>
      </c>
      <c r="M119" s="19">
        <f t="shared" si="5"/>
        <v>0.353348729792148</v>
      </c>
    </row>
    <row r="120" spans="1:13">
      <c r="A120" s="10">
        <v>10128</v>
      </c>
      <c r="B120" s="11">
        <v>44795</v>
      </c>
      <c r="C120" t="str">
        <f t="shared" si="7"/>
        <v>Aug</v>
      </c>
      <c r="D120" t="s">
        <v>17</v>
      </c>
      <c r="E120" t="s">
        <v>18</v>
      </c>
      <c r="F120" t="s">
        <v>22</v>
      </c>
      <c r="G120" s="12">
        <v>199</v>
      </c>
      <c r="H120" s="12">
        <v>39</v>
      </c>
      <c r="I120" s="17">
        <v>331.7</v>
      </c>
      <c r="J120" s="13">
        <v>66008.3</v>
      </c>
      <c r="K120" s="13">
        <v>12936.3</v>
      </c>
      <c r="L120" s="18">
        <f t="shared" si="4"/>
        <v>53072</v>
      </c>
      <c r="M120" s="19">
        <f t="shared" si="5"/>
        <v>0.195979899497487</v>
      </c>
    </row>
    <row r="121" spans="1:13">
      <c r="A121" s="10">
        <v>10129</v>
      </c>
      <c r="B121" s="11">
        <v>44797</v>
      </c>
      <c r="C121" t="str">
        <f t="shared" si="7"/>
        <v>Aug</v>
      </c>
      <c r="D121" t="s">
        <v>17</v>
      </c>
      <c r="E121" t="s">
        <v>15</v>
      </c>
      <c r="F121" t="s">
        <v>22</v>
      </c>
      <c r="G121" s="12">
        <v>199</v>
      </c>
      <c r="H121" s="12">
        <v>39</v>
      </c>
      <c r="I121" s="17">
        <v>171</v>
      </c>
      <c r="J121" s="13">
        <v>34029</v>
      </c>
      <c r="K121" s="13">
        <v>6669</v>
      </c>
      <c r="L121" s="18">
        <f t="shared" si="4"/>
        <v>27360</v>
      </c>
      <c r="M121" s="19">
        <f t="shared" si="5"/>
        <v>0.195979899497487</v>
      </c>
    </row>
    <row r="122" spans="1:13">
      <c r="A122" s="10">
        <v>10130</v>
      </c>
      <c r="B122" s="11">
        <v>44799</v>
      </c>
      <c r="C122" t="str">
        <f t="shared" si="7"/>
        <v>Aug</v>
      </c>
      <c r="D122" t="s">
        <v>17</v>
      </c>
      <c r="E122" t="s">
        <v>13</v>
      </c>
      <c r="F122" t="s">
        <v>19</v>
      </c>
      <c r="G122" s="12">
        <v>1299</v>
      </c>
      <c r="H122" s="12">
        <v>459</v>
      </c>
      <c r="I122" s="17">
        <v>167.2</v>
      </c>
      <c r="J122" s="13">
        <v>217192.8</v>
      </c>
      <c r="K122" s="13">
        <v>76744.8</v>
      </c>
      <c r="L122" s="18">
        <f t="shared" si="4"/>
        <v>140448</v>
      </c>
      <c r="M122" s="19">
        <f t="shared" si="5"/>
        <v>0.353348729792148</v>
      </c>
    </row>
    <row r="123" spans="1:13">
      <c r="A123" s="10">
        <v>10131</v>
      </c>
      <c r="B123" s="11">
        <v>44801</v>
      </c>
      <c r="C123" t="str">
        <f t="shared" si="7"/>
        <v>Aug</v>
      </c>
      <c r="D123" t="s">
        <v>20</v>
      </c>
      <c r="E123" t="s">
        <v>21</v>
      </c>
      <c r="F123" t="s">
        <v>19</v>
      </c>
      <c r="G123" s="12">
        <v>199</v>
      </c>
      <c r="H123" s="12">
        <v>39</v>
      </c>
      <c r="I123" s="17">
        <v>357.8</v>
      </c>
      <c r="J123" s="13">
        <v>71202.2</v>
      </c>
      <c r="K123" s="13">
        <v>13954.2</v>
      </c>
      <c r="L123" s="18">
        <f t="shared" si="4"/>
        <v>57248</v>
      </c>
      <c r="M123" s="19">
        <f t="shared" si="5"/>
        <v>0.195979899497487</v>
      </c>
    </row>
    <row r="124" spans="1:13">
      <c r="A124" s="10">
        <v>10132</v>
      </c>
      <c r="B124" s="11">
        <v>44803</v>
      </c>
      <c r="C124" t="str">
        <f t="shared" si="7"/>
        <v>Aug</v>
      </c>
      <c r="D124" t="s">
        <v>12</v>
      </c>
      <c r="E124" t="s">
        <v>21</v>
      </c>
      <c r="F124" t="s">
        <v>19</v>
      </c>
      <c r="G124" s="12">
        <v>449</v>
      </c>
      <c r="H124" s="12">
        <v>159</v>
      </c>
      <c r="I124" s="17">
        <v>396.2</v>
      </c>
      <c r="J124" s="13">
        <v>177893.8</v>
      </c>
      <c r="K124" s="13">
        <v>62995.8</v>
      </c>
      <c r="L124" s="18">
        <f t="shared" si="4"/>
        <v>114898</v>
      </c>
      <c r="M124" s="19">
        <f t="shared" si="5"/>
        <v>0.354120267260579</v>
      </c>
    </row>
    <row r="125" spans="1:13">
      <c r="A125" s="10">
        <v>10133</v>
      </c>
      <c r="B125" s="11">
        <v>44805</v>
      </c>
      <c r="C125" t="str">
        <f t="shared" si="7"/>
        <v>Sep</v>
      </c>
      <c r="D125" t="s">
        <v>24</v>
      </c>
      <c r="E125" t="s">
        <v>21</v>
      </c>
      <c r="F125" t="s">
        <v>19</v>
      </c>
      <c r="G125" s="12">
        <v>449</v>
      </c>
      <c r="H125" s="12">
        <v>159</v>
      </c>
      <c r="I125" s="17">
        <v>314.2</v>
      </c>
      <c r="J125" s="13">
        <v>141075.8</v>
      </c>
      <c r="K125" s="13">
        <v>49957.8</v>
      </c>
      <c r="L125" s="18">
        <f t="shared" si="4"/>
        <v>91118</v>
      </c>
      <c r="M125" s="19">
        <f t="shared" si="5"/>
        <v>0.354120267260579</v>
      </c>
    </row>
    <row r="126" spans="1:13">
      <c r="A126" s="10">
        <v>10134</v>
      </c>
      <c r="B126" s="11">
        <v>44807</v>
      </c>
      <c r="C126" t="str">
        <f t="shared" si="7"/>
        <v>Sep</v>
      </c>
      <c r="D126" t="s">
        <v>17</v>
      </c>
      <c r="E126" t="s">
        <v>21</v>
      </c>
      <c r="F126" s="14" t="s">
        <v>14</v>
      </c>
      <c r="G126" s="12">
        <v>599</v>
      </c>
      <c r="H126" s="12">
        <v>299</v>
      </c>
      <c r="I126" s="17">
        <v>497.7</v>
      </c>
      <c r="J126" s="13">
        <v>298122.3</v>
      </c>
      <c r="K126" s="13">
        <v>148812.3</v>
      </c>
      <c r="L126" s="18">
        <f t="shared" si="4"/>
        <v>149310</v>
      </c>
      <c r="M126" s="19">
        <f t="shared" si="5"/>
        <v>0.499165275459099</v>
      </c>
    </row>
    <row r="127" spans="1:13">
      <c r="A127" s="10">
        <v>10135</v>
      </c>
      <c r="B127" s="11">
        <v>44809</v>
      </c>
      <c r="C127" t="str">
        <f t="shared" si="7"/>
        <v>Sep</v>
      </c>
      <c r="D127" t="s">
        <v>20</v>
      </c>
      <c r="E127" t="s">
        <v>15</v>
      </c>
      <c r="F127" t="s">
        <v>19</v>
      </c>
      <c r="G127" s="12">
        <v>599</v>
      </c>
      <c r="H127" s="12">
        <v>299</v>
      </c>
      <c r="I127" s="17">
        <v>125.4</v>
      </c>
      <c r="J127" s="13">
        <v>75114.6</v>
      </c>
      <c r="K127" s="13">
        <v>37494.6</v>
      </c>
      <c r="L127" s="18">
        <f t="shared" si="4"/>
        <v>37620</v>
      </c>
      <c r="M127" s="19">
        <f t="shared" si="5"/>
        <v>0.499165275459098</v>
      </c>
    </row>
    <row r="128" spans="1:13">
      <c r="A128" s="10">
        <v>10136</v>
      </c>
      <c r="B128" s="11">
        <v>44811</v>
      </c>
      <c r="C128" t="str">
        <f t="shared" si="7"/>
        <v>Sep</v>
      </c>
      <c r="D128" t="s">
        <v>17</v>
      </c>
      <c r="E128" t="s">
        <v>21</v>
      </c>
      <c r="F128" s="14" t="s">
        <v>14</v>
      </c>
      <c r="G128" s="12">
        <v>199</v>
      </c>
      <c r="H128" s="12">
        <v>39</v>
      </c>
      <c r="I128" s="17">
        <v>411.2</v>
      </c>
      <c r="J128" s="13">
        <v>81828.8</v>
      </c>
      <c r="K128" s="13">
        <v>16036.8</v>
      </c>
      <c r="L128" s="18">
        <f t="shared" si="4"/>
        <v>65792</v>
      </c>
      <c r="M128" s="19">
        <f t="shared" si="5"/>
        <v>0.195979899497487</v>
      </c>
    </row>
    <row r="129" spans="1:13">
      <c r="A129" s="10">
        <v>10137</v>
      </c>
      <c r="B129" s="11">
        <v>44813</v>
      </c>
      <c r="C129" t="str">
        <f t="shared" si="7"/>
        <v>Sep</v>
      </c>
      <c r="D129" t="s">
        <v>17</v>
      </c>
      <c r="E129" t="s">
        <v>15</v>
      </c>
      <c r="F129" s="14" t="s">
        <v>14</v>
      </c>
      <c r="G129" s="12">
        <v>199</v>
      </c>
      <c r="H129" s="12">
        <v>39</v>
      </c>
      <c r="I129" s="17">
        <v>194.3</v>
      </c>
      <c r="J129" s="13">
        <v>38665.7</v>
      </c>
      <c r="K129" s="13">
        <v>7577.7</v>
      </c>
      <c r="L129" s="18">
        <f t="shared" si="4"/>
        <v>31088</v>
      </c>
      <c r="M129" s="19">
        <f t="shared" si="5"/>
        <v>0.195979899497487</v>
      </c>
    </row>
    <row r="130" spans="1:13">
      <c r="A130" s="10">
        <v>10138</v>
      </c>
      <c r="B130" s="11">
        <v>44815</v>
      </c>
      <c r="C130" t="str">
        <f t="shared" si="7"/>
        <v>Sep</v>
      </c>
      <c r="D130" t="s">
        <v>24</v>
      </c>
      <c r="E130" t="s">
        <v>21</v>
      </c>
      <c r="F130" t="s">
        <v>19</v>
      </c>
      <c r="G130" s="12">
        <v>199</v>
      </c>
      <c r="H130" s="12">
        <v>39</v>
      </c>
      <c r="I130" s="17">
        <v>167.9</v>
      </c>
      <c r="J130" s="13">
        <v>33412.1</v>
      </c>
      <c r="K130" s="13">
        <v>6548.1</v>
      </c>
      <c r="L130" s="18">
        <f t="shared" ref="L130:L193" si="8">J130-K130</f>
        <v>26864</v>
      </c>
      <c r="M130" s="19">
        <f t="shared" ref="M130:M193" si="9">K130/J130</f>
        <v>0.195979899497487</v>
      </c>
    </row>
    <row r="131" spans="1:13">
      <c r="A131" s="10">
        <v>10139</v>
      </c>
      <c r="B131" s="11">
        <v>44817</v>
      </c>
      <c r="C131" t="str">
        <f t="shared" ref="C131:C162" si="10">TEXT(B131,"MMM")</f>
        <v>Sep</v>
      </c>
      <c r="D131" t="s">
        <v>24</v>
      </c>
      <c r="E131" t="s">
        <v>21</v>
      </c>
      <c r="F131" t="s">
        <v>22</v>
      </c>
      <c r="G131" s="13">
        <v>1099</v>
      </c>
      <c r="H131" s="13">
        <v>289</v>
      </c>
      <c r="I131" s="17">
        <v>132.2</v>
      </c>
      <c r="J131" s="13">
        <v>145287.8</v>
      </c>
      <c r="K131" s="13">
        <v>38205.8</v>
      </c>
      <c r="L131" s="18">
        <f t="shared" si="8"/>
        <v>107082</v>
      </c>
      <c r="M131" s="19">
        <f t="shared" si="9"/>
        <v>0.262966333030027</v>
      </c>
    </row>
    <row r="132" spans="1:13">
      <c r="A132" s="10">
        <v>10140</v>
      </c>
      <c r="B132" s="11">
        <v>44819</v>
      </c>
      <c r="C132" t="str">
        <f t="shared" si="10"/>
        <v>Sep</v>
      </c>
      <c r="D132" t="s">
        <v>17</v>
      </c>
      <c r="E132" t="s">
        <v>18</v>
      </c>
      <c r="F132" t="s">
        <v>16</v>
      </c>
      <c r="G132" s="13">
        <v>1099</v>
      </c>
      <c r="H132" s="13">
        <v>289</v>
      </c>
      <c r="I132" s="17">
        <v>139.4</v>
      </c>
      <c r="J132" s="13">
        <v>153200.6</v>
      </c>
      <c r="K132" s="13">
        <v>40286.6</v>
      </c>
      <c r="L132" s="18">
        <f t="shared" si="8"/>
        <v>112914</v>
      </c>
      <c r="M132" s="19">
        <f t="shared" si="9"/>
        <v>0.262966333030027</v>
      </c>
    </row>
    <row r="133" spans="1:13">
      <c r="A133" s="10">
        <v>10141</v>
      </c>
      <c r="B133" s="11">
        <v>44821</v>
      </c>
      <c r="C133" t="str">
        <f t="shared" si="10"/>
        <v>Sep</v>
      </c>
      <c r="D133" t="s">
        <v>24</v>
      </c>
      <c r="E133" t="s">
        <v>21</v>
      </c>
      <c r="F133" t="s">
        <v>19</v>
      </c>
      <c r="G133" s="13">
        <v>1099</v>
      </c>
      <c r="H133" s="13">
        <v>289</v>
      </c>
      <c r="I133" s="17">
        <v>106</v>
      </c>
      <c r="J133" s="13">
        <v>116494</v>
      </c>
      <c r="K133" s="13">
        <v>30634</v>
      </c>
      <c r="L133" s="18">
        <f t="shared" si="8"/>
        <v>85860</v>
      </c>
      <c r="M133" s="19">
        <f t="shared" si="9"/>
        <v>0.262966333030027</v>
      </c>
    </row>
    <row r="134" spans="1:13">
      <c r="A134" s="10">
        <v>10142</v>
      </c>
      <c r="B134" s="11">
        <v>44823</v>
      </c>
      <c r="C134" t="str">
        <f t="shared" si="10"/>
        <v>Sep</v>
      </c>
      <c r="D134" t="s">
        <v>23</v>
      </c>
      <c r="E134" t="s">
        <v>15</v>
      </c>
      <c r="F134" t="s">
        <v>16</v>
      </c>
      <c r="G134" s="12">
        <v>599</v>
      </c>
      <c r="H134" s="12">
        <v>299</v>
      </c>
      <c r="I134" s="17">
        <v>271.9</v>
      </c>
      <c r="J134" s="13">
        <v>162868.1</v>
      </c>
      <c r="K134" s="13">
        <v>81298.1</v>
      </c>
      <c r="L134" s="18">
        <f t="shared" si="8"/>
        <v>81570</v>
      </c>
      <c r="M134" s="19">
        <f t="shared" si="9"/>
        <v>0.499165275459098</v>
      </c>
    </row>
    <row r="135" spans="1:13">
      <c r="A135" s="10">
        <v>10143</v>
      </c>
      <c r="B135" s="11">
        <v>44825</v>
      </c>
      <c r="C135" t="str">
        <f t="shared" si="10"/>
        <v>Sep</v>
      </c>
      <c r="D135" t="s">
        <v>23</v>
      </c>
      <c r="E135" t="s">
        <v>15</v>
      </c>
      <c r="F135" t="s">
        <v>19</v>
      </c>
      <c r="G135" s="12">
        <v>199</v>
      </c>
      <c r="H135" s="12">
        <v>39</v>
      </c>
      <c r="I135" s="17">
        <v>236</v>
      </c>
      <c r="J135" s="13">
        <v>46964</v>
      </c>
      <c r="K135" s="13">
        <v>9204</v>
      </c>
      <c r="L135" s="18">
        <f t="shared" si="8"/>
        <v>37760</v>
      </c>
      <c r="M135" s="19">
        <f t="shared" si="9"/>
        <v>0.195979899497487</v>
      </c>
    </row>
    <row r="136" spans="1:13">
      <c r="A136" s="10">
        <v>10144</v>
      </c>
      <c r="B136" s="11">
        <v>44827</v>
      </c>
      <c r="C136" t="str">
        <f t="shared" si="10"/>
        <v>Sep</v>
      </c>
      <c r="D136" t="s">
        <v>20</v>
      </c>
      <c r="E136" t="s">
        <v>18</v>
      </c>
      <c r="F136" s="14" t="s">
        <v>14</v>
      </c>
      <c r="G136" s="12">
        <v>1299</v>
      </c>
      <c r="H136" s="12">
        <v>459</v>
      </c>
      <c r="I136" s="17">
        <v>339.8</v>
      </c>
      <c r="J136" s="13">
        <v>441400.2</v>
      </c>
      <c r="K136" s="13">
        <v>155968.2</v>
      </c>
      <c r="L136" s="18">
        <f t="shared" si="8"/>
        <v>285432</v>
      </c>
      <c r="M136" s="19">
        <f t="shared" si="9"/>
        <v>0.353348729792148</v>
      </c>
    </row>
    <row r="137" spans="1:13">
      <c r="A137" s="10">
        <v>10145</v>
      </c>
      <c r="B137" s="11">
        <v>44829</v>
      </c>
      <c r="C137" t="str">
        <f t="shared" si="10"/>
        <v>Sep</v>
      </c>
      <c r="D137" t="s">
        <v>20</v>
      </c>
      <c r="E137" t="s">
        <v>21</v>
      </c>
      <c r="F137" s="14" t="s">
        <v>14</v>
      </c>
      <c r="G137" s="12">
        <v>599</v>
      </c>
      <c r="H137" s="12">
        <v>299</v>
      </c>
      <c r="I137" s="17">
        <v>403.6</v>
      </c>
      <c r="J137" s="13">
        <v>241756.4</v>
      </c>
      <c r="K137" s="13">
        <v>120676.4</v>
      </c>
      <c r="L137" s="18">
        <f t="shared" si="8"/>
        <v>121080</v>
      </c>
      <c r="M137" s="19">
        <f t="shared" si="9"/>
        <v>0.499165275459099</v>
      </c>
    </row>
    <row r="138" spans="1:13">
      <c r="A138" s="10">
        <v>10146</v>
      </c>
      <c r="B138" s="11">
        <v>44831</v>
      </c>
      <c r="C138" t="str">
        <f t="shared" si="10"/>
        <v>Sep</v>
      </c>
      <c r="D138" t="s">
        <v>24</v>
      </c>
      <c r="E138" t="s">
        <v>18</v>
      </c>
      <c r="F138" t="s">
        <v>19</v>
      </c>
      <c r="G138" s="12">
        <v>1299</v>
      </c>
      <c r="H138" s="12">
        <v>459</v>
      </c>
      <c r="I138" s="17">
        <v>218.6</v>
      </c>
      <c r="J138" s="13">
        <v>283961.4</v>
      </c>
      <c r="K138" s="13">
        <v>100337.4</v>
      </c>
      <c r="L138" s="18">
        <f t="shared" si="8"/>
        <v>183624</v>
      </c>
      <c r="M138" s="19">
        <f t="shared" si="9"/>
        <v>0.353348729792148</v>
      </c>
    </row>
    <row r="139" spans="1:13">
      <c r="A139" s="10">
        <v>10147</v>
      </c>
      <c r="B139" s="11">
        <v>44833</v>
      </c>
      <c r="C139" t="str">
        <f t="shared" si="10"/>
        <v>Sep</v>
      </c>
      <c r="D139" t="s">
        <v>24</v>
      </c>
      <c r="E139" t="s">
        <v>15</v>
      </c>
      <c r="F139" t="s">
        <v>19</v>
      </c>
      <c r="G139" s="12">
        <v>1299</v>
      </c>
      <c r="H139" s="12">
        <v>459</v>
      </c>
      <c r="I139" s="17">
        <v>462.2</v>
      </c>
      <c r="J139" s="13">
        <v>600397.8</v>
      </c>
      <c r="K139" s="13">
        <v>212149.8</v>
      </c>
      <c r="L139" s="18">
        <f t="shared" si="8"/>
        <v>388248</v>
      </c>
      <c r="M139" s="19">
        <f t="shared" si="9"/>
        <v>0.353348729792148</v>
      </c>
    </row>
    <row r="140" spans="1:13">
      <c r="A140" s="10">
        <v>10148</v>
      </c>
      <c r="B140" s="11">
        <v>44835</v>
      </c>
      <c r="C140" t="str">
        <f t="shared" si="10"/>
        <v>Oct</v>
      </c>
      <c r="D140" t="s">
        <v>24</v>
      </c>
      <c r="E140" t="s">
        <v>18</v>
      </c>
      <c r="F140" t="s">
        <v>19</v>
      </c>
      <c r="G140" s="12">
        <v>449</v>
      </c>
      <c r="H140" s="12">
        <v>159</v>
      </c>
      <c r="I140" s="17">
        <v>210.9</v>
      </c>
      <c r="J140" s="13">
        <v>94694.1</v>
      </c>
      <c r="K140" s="13">
        <v>33533.1</v>
      </c>
      <c r="L140" s="18">
        <f t="shared" si="8"/>
        <v>61161</v>
      </c>
      <c r="M140" s="19">
        <f t="shared" si="9"/>
        <v>0.354120267260579</v>
      </c>
    </row>
    <row r="141" spans="1:13">
      <c r="A141" s="10">
        <v>10149</v>
      </c>
      <c r="B141" s="11">
        <v>44837</v>
      </c>
      <c r="C141" t="str">
        <f t="shared" si="10"/>
        <v>Oct</v>
      </c>
      <c r="D141" t="s">
        <v>12</v>
      </c>
      <c r="E141" t="s">
        <v>15</v>
      </c>
      <c r="F141" t="s">
        <v>19</v>
      </c>
      <c r="G141" s="12">
        <v>449</v>
      </c>
      <c r="H141" s="12">
        <v>159</v>
      </c>
      <c r="I141" s="17">
        <v>453.4</v>
      </c>
      <c r="J141" s="13">
        <v>203576.6</v>
      </c>
      <c r="K141" s="13">
        <v>72090.6</v>
      </c>
      <c r="L141" s="18">
        <f t="shared" si="8"/>
        <v>131486</v>
      </c>
      <c r="M141" s="19">
        <f t="shared" si="9"/>
        <v>0.354120267260579</v>
      </c>
    </row>
    <row r="142" spans="1:13">
      <c r="A142" s="10">
        <v>10150</v>
      </c>
      <c r="B142" s="11">
        <v>44839</v>
      </c>
      <c r="C142" t="str">
        <f t="shared" si="10"/>
        <v>Oct</v>
      </c>
      <c r="D142" t="s">
        <v>12</v>
      </c>
      <c r="E142" t="s">
        <v>18</v>
      </c>
      <c r="F142" t="s">
        <v>16</v>
      </c>
      <c r="G142" s="12">
        <v>199</v>
      </c>
      <c r="H142" s="12">
        <v>39</v>
      </c>
      <c r="I142" s="17">
        <v>471.9</v>
      </c>
      <c r="J142" s="13">
        <v>93908.1</v>
      </c>
      <c r="K142" s="13">
        <v>18404.1</v>
      </c>
      <c r="L142" s="18">
        <f t="shared" si="8"/>
        <v>75504</v>
      </c>
      <c r="M142" s="19">
        <f t="shared" si="9"/>
        <v>0.195979899497487</v>
      </c>
    </row>
    <row r="143" spans="1:13">
      <c r="A143" s="10">
        <v>10151</v>
      </c>
      <c r="B143" s="11">
        <v>44841</v>
      </c>
      <c r="C143" t="str">
        <f t="shared" si="10"/>
        <v>Oct</v>
      </c>
      <c r="D143" t="s">
        <v>12</v>
      </c>
      <c r="E143" t="s">
        <v>18</v>
      </c>
      <c r="F143" t="s">
        <v>22</v>
      </c>
      <c r="G143" s="12">
        <v>449</v>
      </c>
      <c r="H143" s="12">
        <v>159</v>
      </c>
      <c r="I143" s="17">
        <v>128.3</v>
      </c>
      <c r="J143" s="13">
        <v>57606.7</v>
      </c>
      <c r="K143" s="13">
        <v>20399.7</v>
      </c>
      <c r="L143" s="18">
        <f t="shared" si="8"/>
        <v>37207</v>
      </c>
      <c r="M143" s="19">
        <f t="shared" si="9"/>
        <v>0.354120267260579</v>
      </c>
    </row>
    <row r="144" spans="1:13">
      <c r="A144" s="10">
        <v>10152</v>
      </c>
      <c r="B144" s="11">
        <v>44843</v>
      </c>
      <c r="C144" t="str">
        <f t="shared" si="10"/>
        <v>Oct</v>
      </c>
      <c r="D144" t="s">
        <v>20</v>
      </c>
      <c r="E144" t="s">
        <v>21</v>
      </c>
      <c r="F144" t="s">
        <v>22</v>
      </c>
      <c r="G144" s="12">
        <v>599</v>
      </c>
      <c r="H144" s="12">
        <v>299</v>
      </c>
      <c r="I144" s="17">
        <v>198.2</v>
      </c>
      <c r="J144" s="13">
        <v>118721.8</v>
      </c>
      <c r="K144" s="13">
        <v>59261.8</v>
      </c>
      <c r="L144" s="18">
        <f t="shared" si="8"/>
        <v>59460</v>
      </c>
      <c r="M144" s="19">
        <f t="shared" si="9"/>
        <v>0.499165275459098</v>
      </c>
    </row>
    <row r="145" spans="1:13">
      <c r="A145" s="10">
        <v>10153</v>
      </c>
      <c r="B145" s="11">
        <v>44845</v>
      </c>
      <c r="C145" t="str">
        <f t="shared" si="10"/>
        <v>Oct</v>
      </c>
      <c r="D145" t="s">
        <v>24</v>
      </c>
      <c r="E145" t="s">
        <v>21</v>
      </c>
      <c r="F145" s="14" t="s">
        <v>14</v>
      </c>
      <c r="G145" s="12">
        <v>599</v>
      </c>
      <c r="H145" s="12">
        <v>299</v>
      </c>
      <c r="I145" s="17">
        <v>300.3</v>
      </c>
      <c r="J145" s="13">
        <v>179879.7</v>
      </c>
      <c r="K145" s="13">
        <v>89789.7</v>
      </c>
      <c r="L145" s="18">
        <f t="shared" si="8"/>
        <v>90090</v>
      </c>
      <c r="M145" s="19">
        <f t="shared" si="9"/>
        <v>0.499165275459098</v>
      </c>
    </row>
    <row r="146" spans="1:13">
      <c r="A146" s="10">
        <v>10154</v>
      </c>
      <c r="B146" s="11">
        <v>44845</v>
      </c>
      <c r="C146" t="str">
        <f t="shared" si="10"/>
        <v>Oct</v>
      </c>
      <c r="D146" t="s">
        <v>17</v>
      </c>
      <c r="E146" t="s">
        <v>15</v>
      </c>
      <c r="F146" s="14" t="s">
        <v>14</v>
      </c>
      <c r="G146" s="13">
        <v>1099</v>
      </c>
      <c r="H146" s="13">
        <v>289</v>
      </c>
      <c r="I146" s="17">
        <v>129.4</v>
      </c>
      <c r="J146" s="13">
        <v>142210.6</v>
      </c>
      <c r="K146" s="13">
        <v>37396.6</v>
      </c>
      <c r="L146" s="18">
        <f t="shared" si="8"/>
        <v>104814</v>
      </c>
      <c r="M146" s="19">
        <f t="shared" si="9"/>
        <v>0.262966333030027</v>
      </c>
    </row>
    <row r="147" spans="1:13">
      <c r="A147" s="10">
        <v>10155</v>
      </c>
      <c r="B147" s="11">
        <v>44845</v>
      </c>
      <c r="C147" t="str">
        <f t="shared" si="10"/>
        <v>Oct</v>
      </c>
      <c r="D147" t="s">
        <v>20</v>
      </c>
      <c r="E147" t="s">
        <v>18</v>
      </c>
      <c r="F147" s="14" t="s">
        <v>14</v>
      </c>
      <c r="G147" s="13">
        <v>1099</v>
      </c>
      <c r="H147" s="13">
        <v>289</v>
      </c>
      <c r="I147" s="17">
        <v>341.7</v>
      </c>
      <c r="J147" s="13">
        <v>375528.3</v>
      </c>
      <c r="K147" s="13">
        <v>98751.3</v>
      </c>
      <c r="L147" s="18">
        <f t="shared" si="8"/>
        <v>276777</v>
      </c>
      <c r="M147" s="19">
        <f t="shared" si="9"/>
        <v>0.262966333030027</v>
      </c>
    </row>
    <row r="148" spans="1:13">
      <c r="A148" s="10">
        <v>10156</v>
      </c>
      <c r="B148" s="11">
        <v>44845</v>
      </c>
      <c r="C148" t="str">
        <f t="shared" si="10"/>
        <v>Oct</v>
      </c>
      <c r="D148" t="s">
        <v>17</v>
      </c>
      <c r="E148" t="s">
        <v>21</v>
      </c>
      <c r="F148" s="14" t="s">
        <v>14</v>
      </c>
      <c r="G148" s="12">
        <v>599</v>
      </c>
      <c r="H148" s="12">
        <v>299</v>
      </c>
      <c r="I148" s="17">
        <v>155.6</v>
      </c>
      <c r="J148" s="13">
        <v>93204.4</v>
      </c>
      <c r="K148" s="13">
        <v>46524.4</v>
      </c>
      <c r="L148" s="18">
        <f t="shared" si="8"/>
        <v>46680</v>
      </c>
      <c r="M148" s="19">
        <f t="shared" si="9"/>
        <v>0.499165275459099</v>
      </c>
    </row>
    <row r="149" spans="1:13">
      <c r="A149" s="10">
        <v>10157</v>
      </c>
      <c r="B149" s="11">
        <v>44845</v>
      </c>
      <c r="C149" t="str">
        <f t="shared" si="10"/>
        <v>Oct</v>
      </c>
      <c r="D149" t="s">
        <v>17</v>
      </c>
      <c r="E149" t="s">
        <v>18</v>
      </c>
      <c r="F149" s="14" t="s">
        <v>14</v>
      </c>
      <c r="G149" s="12">
        <v>1299</v>
      </c>
      <c r="H149" s="12">
        <v>459</v>
      </c>
      <c r="I149" s="17">
        <v>318.4</v>
      </c>
      <c r="J149" s="13">
        <v>413601.6</v>
      </c>
      <c r="K149" s="13">
        <v>146145.6</v>
      </c>
      <c r="L149" s="18">
        <f t="shared" si="8"/>
        <v>267456</v>
      </c>
      <c r="M149" s="19">
        <f t="shared" si="9"/>
        <v>0.353348729792148</v>
      </c>
    </row>
    <row r="150" spans="1:13">
      <c r="A150" s="10">
        <v>10158</v>
      </c>
      <c r="B150" s="11">
        <v>44845</v>
      </c>
      <c r="C150" t="str">
        <f t="shared" si="10"/>
        <v>Oct</v>
      </c>
      <c r="D150" t="s">
        <v>23</v>
      </c>
      <c r="E150" t="s">
        <v>15</v>
      </c>
      <c r="F150" t="s">
        <v>22</v>
      </c>
      <c r="G150" s="12">
        <v>199</v>
      </c>
      <c r="H150" s="12">
        <v>39</v>
      </c>
      <c r="I150" s="17">
        <v>307.6</v>
      </c>
      <c r="J150" s="13">
        <v>61212.4</v>
      </c>
      <c r="K150" s="13">
        <v>11996.4</v>
      </c>
      <c r="L150" s="18">
        <f t="shared" si="8"/>
        <v>49216</v>
      </c>
      <c r="M150" s="19">
        <f t="shared" si="9"/>
        <v>0.195979899497487</v>
      </c>
    </row>
    <row r="151" spans="1:13">
      <c r="A151" s="10">
        <v>10159</v>
      </c>
      <c r="B151" s="11">
        <v>44845</v>
      </c>
      <c r="C151" t="str">
        <f t="shared" si="10"/>
        <v>Oct</v>
      </c>
      <c r="D151" t="s">
        <v>23</v>
      </c>
      <c r="E151" t="s">
        <v>18</v>
      </c>
      <c r="F151" t="s">
        <v>16</v>
      </c>
      <c r="G151" s="12">
        <v>1299</v>
      </c>
      <c r="H151" s="12">
        <v>459</v>
      </c>
      <c r="I151" s="17">
        <v>187.3</v>
      </c>
      <c r="J151" s="13">
        <v>243302.7</v>
      </c>
      <c r="K151" s="13">
        <v>85970.7</v>
      </c>
      <c r="L151" s="18">
        <f t="shared" si="8"/>
        <v>157332</v>
      </c>
      <c r="M151" s="19">
        <f t="shared" si="9"/>
        <v>0.353348729792148</v>
      </c>
    </row>
    <row r="152" spans="1:13">
      <c r="A152" s="10">
        <v>10160</v>
      </c>
      <c r="B152" s="11">
        <v>44845</v>
      </c>
      <c r="C152" t="str">
        <f t="shared" si="10"/>
        <v>Oct</v>
      </c>
      <c r="D152" t="s">
        <v>24</v>
      </c>
      <c r="E152" t="s">
        <v>21</v>
      </c>
      <c r="F152" t="s">
        <v>16</v>
      </c>
      <c r="G152" s="12">
        <v>199</v>
      </c>
      <c r="H152" s="12">
        <v>39</v>
      </c>
      <c r="I152" s="17">
        <v>157.4</v>
      </c>
      <c r="J152" s="13">
        <v>31322.6</v>
      </c>
      <c r="K152" s="13">
        <v>6138.6</v>
      </c>
      <c r="L152" s="18">
        <f t="shared" si="8"/>
        <v>25184</v>
      </c>
      <c r="M152" s="19">
        <f t="shared" si="9"/>
        <v>0.195979899497487</v>
      </c>
    </row>
    <row r="153" spans="1:13">
      <c r="A153" s="10">
        <v>10161</v>
      </c>
      <c r="B153" s="11">
        <v>44845</v>
      </c>
      <c r="C153" t="str">
        <f t="shared" si="10"/>
        <v>Oct</v>
      </c>
      <c r="D153" t="s">
        <v>23</v>
      </c>
      <c r="E153" t="s">
        <v>18</v>
      </c>
      <c r="F153" t="s">
        <v>19</v>
      </c>
      <c r="G153" s="12">
        <v>449</v>
      </c>
      <c r="H153" s="12">
        <v>159</v>
      </c>
      <c r="I153" s="17">
        <v>219.3</v>
      </c>
      <c r="J153" s="13">
        <v>98465.7</v>
      </c>
      <c r="K153" s="13">
        <v>34868.7</v>
      </c>
      <c r="L153" s="18">
        <f t="shared" si="8"/>
        <v>63597</v>
      </c>
      <c r="M153" s="19">
        <f t="shared" si="9"/>
        <v>0.354120267260579</v>
      </c>
    </row>
    <row r="154" spans="1:13">
      <c r="A154" s="10">
        <v>10162</v>
      </c>
      <c r="B154" s="11">
        <v>44845</v>
      </c>
      <c r="C154" t="str">
        <f t="shared" si="10"/>
        <v>Oct</v>
      </c>
      <c r="D154" t="s">
        <v>20</v>
      </c>
      <c r="E154" t="s">
        <v>15</v>
      </c>
      <c r="F154" t="s">
        <v>19</v>
      </c>
      <c r="G154" s="12">
        <v>199</v>
      </c>
      <c r="H154" s="12">
        <v>39</v>
      </c>
      <c r="I154" s="17">
        <v>133</v>
      </c>
      <c r="J154" s="13">
        <v>26467</v>
      </c>
      <c r="K154" s="13">
        <v>5187</v>
      </c>
      <c r="L154" s="18">
        <f t="shared" si="8"/>
        <v>21280</v>
      </c>
      <c r="M154" s="19">
        <f t="shared" si="9"/>
        <v>0.195979899497487</v>
      </c>
    </row>
    <row r="155" spans="1:13">
      <c r="A155" s="10">
        <v>10163</v>
      </c>
      <c r="B155" s="11">
        <v>44845</v>
      </c>
      <c r="C155" t="str">
        <f t="shared" si="10"/>
        <v>Oct</v>
      </c>
      <c r="D155" t="s">
        <v>20</v>
      </c>
      <c r="E155" t="s">
        <v>18</v>
      </c>
      <c r="F155" t="s">
        <v>16</v>
      </c>
      <c r="G155" s="12">
        <v>1299</v>
      </c>
      <c r="H155" s="12">
        <v>459</v>
      </c>
      <c r="I155" s="17">
        <v>357.6</v>
      </c>
      <c r="J155" s="13">
        <v>464522.4</v>
      </c>
      <c r="K155" s="13">
        <v>164138.4</v>
      </c>
      <c r="L155" s="18">
        <f t="shared" si="8"/>
        <v>300384</v>
      </c>
      <c r="M155" s="19">
        <f t="shared" si="9"/>
        <v>0.353348729792148</v>
      </c>
    </row>
    <row r="156" spans="1:13">
      <c r="A156" s="10">
        <v>10164</v>
      </c>
      <c r="B156" s="11">
        <v>44845</v>
      </c>
      <c r="C156" t="str">
        <f t="shared" si="10"/>
        <v>Oct</v>
      </c>
      <c r="D156" t="s">
        <v>12</v>
      </c>
      <c r="E156" t="s">
        <v>21</v>
      </c>
      <c r="F156" t="s">
        <v>19</v>
      </c>
      <c r="G156" s="12">
        <v>199</v>
      </c>
      <c r="H156" s="12">
        <v>39</v>
      </c>
      <c r="I156" s="17">
        <v>400.6</v>
      </c>
      <c r="J156" s="13">
        <v>79719.4</v>
      </c>
      <c r="K156" s="13">
        <v>15623.4</v>
      </c>
      <c r="L156" s="18">
        <f t="shared" si="8"/>
        <v>64096</v>
      </c>
      <c r="M156" s="19">
        <f t="shared" si="9"/>
        <v>0.195979899497487</v>
      </c>
    </row>
    <row r="157" spans="1:13">
      <c r="A157" s="10">
        <v>10165</v>
      </c>
      <c r="B157" s="11">
        <v>44845</v>
      </c>
      <c r="C157" t="str">
        <f t="shared" si="10"/>
        <v>Oct</v>
      </c>
      <c r="D157" t="s">
        <v>12</v>
      </c>
      <c r="E157" t="s">
        <v>18</v>
      </c>
      <c r="F157" t="s">
        <v>16</v>
      </c>
      <c r="G157" s="12">
        <v>199</v>
      </c>
      <c r="H157" s="12">
        <v>39</v>
      </c>
      <c r="I157" s="17">
        <v>433.1</v>
      </c>
      <c r="J157" s="13">
        <v>86186.9</v>
      </c>
      <c r="K157" s="13">
        <v>16890.9</v>
      </c>
      <c r="L157" s="18">
        <f t="shared" si="8"/>
        <v>69296</v>
      </c>
      <c r="M157" s="19">
        <f t="shared" si="9"/>
        <v>0.195979899497487</v>
      </c>
    </row>
    <row r="158" spans="1:13">
      <c r="A158" s="10">
        <v>10166</v>
      </c>
      <c r="B158" s="11">
        <v>44845</v>
      </c>
      <c r="C158" t="str">
        <f t="shared" si="10"/>
        <v>Oct</v>
      </c>
      <c r="D158" t="s">
        <v>20</v>
      </c>
      <c r="E158" t="s">
        <v>15</v>
      </c>
      <c r="F158" t="s">
        <v>16</v>
      </c>
      <c r="G158" s="13">
        <v>1099</v>
      </c>
      <c r="H158" s="13">
        <v>289</v>
      </c>
      <c r="I158" s="17">
        <v>205.9</v>
      </c>
      <c r="J158" s="13">
        <v>226284.1</v>
      </c>
      <c r="K158" s="13">
        <v>59505.1</v>
      </c>
      <c r="L158" s="18">
        <f t="shared" si="8"/>
        <v>166779</v>
      </c>
      <c r="M158" s="19">
        <f t="shared" si="9"/>
        <v>0.262966333030027</v>
      </c>
    </row>
    <row r="159" spans="1:13">
      <c r="A159" s="10">
        <v>10167</v>
      </c>
      <c r="B159" s="11">
        <v>44847</v>
      </c>
      <c r="C159" t="str">
        <f t="shared" si="10"/>
        <v>Oct</v>
      </c>
      <c r="D159" t="s">
        <v>17</v>
      </c>
      <c r="E159" t="s">
        <v>18</v>
      </c>
      <c r="F159" t="s">
        <v>16</v>
      </c>
      <c r="G159" s="12">
        <v>199</v>
      </c>
      <c r="H159" s="12">
        <v>39</v>
      </c>
      <c r="I159" s="17">
        <v>436</v>
      </c>
      <c r="J159" s="13">
        <v>86764</v>
      </c>
      <c r="K159" s="13">
        <v>17004</v>
      </c>
      <c r="L159" s="18">
        <f t="shared" si="8"/>
        <v>69760</v>
      </c>
      <c r="M159" s="19">
        <f t="shared" si="9"/>
        <v>0.195979899497487</v>
      </c>
    </row>
    <row r="160" spans="1:13">
      <c r="A160" s="10">
        <v>10168</v>
      </c>
      <c r="B160" s="11">
        <v>44849</v>
      </c>
      <c r="C160" t="str">
        <f t="shared" si="10"/>
        <v>Oct</v>
      </c>
      <c r="D160" t="s">
        <v>24</v>
      </c>
      <c r="E160" t="s">
        <v>21</v>
      </c>
      <c r="F160" t="s">
        <v>16</v>
      </c>
      <c r="G160" s="12">
        <v>599</v>
      </c>
      <c r="H160" s="12">
        <v>299</v>
      </c>
      <c r="I160" s="17">
        <v>114.7</v>
      </c>
      <c r="J160" s="13">
        <v>68705.3</v>
      </c>
      <c r="K160" s="13">
        <v>34295.3</v>
      </c>
      <c r="L160" s="18">
        <f t="shared" si="8"/>
        <v>34410</v>
      </c>
      <c r="M160" s="19">
        <f t="shared" si="9"/>
        <v>0.499165275459099</v>
      </c>
    </row>
    <row r="161" spans="1:13">
      <c r="A161" s="10">
        <v>10169</v>
      </c>
      <c r="B161" s="11">
        <v>44851</v>
      </c>
      <c r="C161" t="str">
        <f t="shared" si="10"/>
        <v>Oct</v>
      </c>
      <c r="D161" t="s">
        <v>17</v>
      </c>
      <c r="E161" t="s">
        <v>21</v>
      </c>
      <c r="F161" t="s">
        <v>16</v>
      </c>
      <c r="G161" s="13">
        <v>1099</v>
      </c>
      <c r="H161" s="13">
        <v>289</v>
      </c>
      <c r="I161" s="17">
        <v>213.8</v>
      </c>
      <c r="J161" s="13">
        <v>234966.2</v>
      </c>
      <c r="K161" s="13">
        <v>61788.2</v>
      </c>
      <c r="L161" s="18">
        <f t="shared" si="8"/>
        <v>173178</v>
      </c>
      <c r="M161" s="19">
        <f t="shared" si="9"/>
        <v>0.262966333030027</v>
      </c>
    </row>
    <row r="162" spans="1:13">
      <c r="A162" s="10">
        <v>10170</v>
      </c>
      <c r="B162" s="11">
        <v>44853</v>
      </c>
      <c r="C162" t="str">
        <f t="shared" si="10"/>
        <v>Oct</v>
      </c>
      <c r="D162" t="s">
        <v>24</v>
      </c>
      <c r="E162" t="s">
        <v>13</v>
      </c>
      <c r="F162" t="s">
        <v>16</v>
      </c>
      <c r="G162" s="12">
        <v>1299</v>
      </c>
      <c r="H162" s="12">
        <v>459</v>
      </c>
      <c r="I162" s="17">
        <v>124</v>
      </c>
      <c r="J162" s="13">
        <v>161076</v>
      </c>
      <c r="K162" s="13">
        <v>56916</v>
      </c>
      <c r="L162" s="18">
        <f t="shared" si="8"/>
        <v>104160</v>
      </c>
      <c r="M162" s="19">
        <f t="shared" si="9"/>
        <v>0.353348729792148</v>
      </c>
    </row>
    <row r="163" spans="1:13">
      <c r="A163" s="10">
        <v>10171</v>
      </c>
      <c r="B163" s="11">
        <v>44855</v>
      </c>
      <c r="C163" t="str">
        <f t="shared" ref="C163:C200" si="11">TEXT(B163,"MMM")</f>
        <v>Oct</v>
      </c>
      <c r="D163" t="s">
        <v>23</v>
      </c>
      <c r="E163" t="s">
        <v>21</v>
      </c>
      <c r="F163" t="s">
        <v>16</v>
      </c>
      <c r="G163" s="12">
        <v>199</v>
      </c>
      <c r="H163" s="12">
        <v>39</v>
      </c>
      <c r="I163" s="17">
        <v>285.1</v>
      </c>
      <c r="J163" s="13">
        <v>56734.9</v>
      </c>
      <c r="K163" s="13">
        <v>11118.9</v>
      </c>
      <c r="L163" s="18">
        <f t="shared" si="8"/>
        <v>45616</v>
      </c>
      <c r="M163" s="19">
        <f t="shared" si="9"/>
        <v>0.195979899497487</v>
      </c>
    </row>
    <row r="164" spans="1:13">
      <c r="A164" s="10">
        <v>10172</v>
      </c>
      <c r="B164" s="11">
        <v>44857</v>
      </c>
      <c r="C164" t="str">
        <f t="shared" si="11"/>
        <v>Oct</v>
      </c>
      <c r="D164" t="s">
        <v>24</v>
      </c>
      <c r="E164" t="s">
        <v>15</v>
      </c>
      <c r="F164" s="14" t="s">
        <v>14</v>
      </c>
      <c r="G164" s="12">
        <v>199</v>
      </c>
      <c r="H164" s="12">
        <v>39</v>
      </c>
      <c r="I164" s="17">
        <v>228.9</v>
      </c>
      <c r="J164" s="13">
        <v>45551.1</v>
      </c>
      <c r="K164" s="13">
        <v>8927.1</v>
      </c>
      <c r="L164" s="18">
        <f t="shared" si="8"/>
        <v>36624</v>
      </c>
      <c r="M164" s="19">
        <f t="shared" si="9"/>
        <v>0.195979899497487</v>
      </c>
    </row>
    <row r="165" spans="1:13">
      <c r="A165" s="10">
        <v>10173</v>
      </c>
      <c r="B165" s="11">
        <v>44859</v>
      </c>
      <c r="C165" t="str">
        <f t="shared" si="11"/>
        <v>Oct</v>
      </c>
      <c r="D165" t="s">
        <v>17</v>
      </c>
      <c r="E165" t="s">
        <v>15</v>
      </c>
      <c r="F165" s="14" t="s">
        <v>14</v>
      </c>
      <c r="G165" s="12">
        <v>199</v>
      </c>
      <c r="H165" s="12">
        <v>39</v>
      </c>
      <c r="I165" s="17">
        <v>361</v>
      </c>
      <c r="J165" s="13">
        <v>71839</v>
      </c>
      <c r="K165" s="13">
        <v>14079</v>
      </c>
      <c r="L165" s="18">
        <f t="shared" si="8"/>
        <v>57760</v>
      </c>
      <c r="M165" s="19">
        <f t="shared" si="9"/>
        <v>0.195979899497487</v>
      </c>
    </row>
    <row r="166" spans="1:13">
      <c r="A166" s="10">
        <v>10174</v>
      </c>
      <c r="B166" s="11">
        <v>44861</v>
      </c>
      <c r="C166" t="str">
        <f t="shared" si="11"/>
        <v>Oct</v>
      </c>
      <c r="D166" t="s">
        <v>24</v>
      </c>
      <c r="E166" t="s">
        <v>13</v>
      </c>
      <c r="F166" s="14" t="s">
        <v>14</v>
      </c>
      <c r="G166" s="13">
        <v>1099</v>
      </c>
      <c r="H166" s="13">
        <v>289</v>
      </c>
      <c r="I166" s="17">
        <v>425.7</v>
      </c>
      <c r="J166" s="13">
        <v>467844.3</v>
      </c>
      <c r="K166" s="13">
        <v>123027.3</v>
      </c>
      <c r="L166" s="18">
        <f t="shared" si="8"/>
        <v>344817</v>
      </c>
      <c r="M166" s="19">
        <f t="shared" si="9"/>
        <v>0.262966333030027</v>
      </c>
    </row>
    <row r="167" spans="1:13">
      <c r="A167" s="10">
        <v>10175</v>
      </c>
      <c r="B167" s="11">
        <v>44863</v>
      </c>
      <c r="C167" t="str">
        <f t="shared" si="11"/>
        <v>Oct</v>
      </c>
      <c r="D167" t="s">
        <v>24</v>
      </c>
      <c r="E167" t="s">
        <v>13</v>
      </c>
      <c r="F167" s="14" t="s">
        <v>14</v>
      </c>
      <c r="G167" s="12">
        <v>199</v>
      </c>
      <c r="H167" s="12">
        <v>39</v>
      </c>
      <c r="I167" s="17">
        <v>233.3</v>
      </c>
      <c r="J167" s="13">
        <v>46426.7</v>
      </c>
      <c r="K167" s="13">
        <v>9098.7</v>
      </c>
      <c r="L167" s="18">
        <f t="shared" si="8"/>
        <v>37328</v>
      </c>
      <c r="M167" s="19">
        <f t="shared" si="9"/>
        <v>0.195979899497487</v>
      </c>
    </row>
    <row r="168" spans="1:13">
      <c r="A168" s="10">
        <v>10176</v>
      </c>
      <c r="B168" s="11">
        <v>44865</v>
      </c>
      <c r="C168" t="str">
        <f t="shared" si="11"/>
        <v>Oct</v>
      </c>
      <c r="D168" t="s">
        <v>12</v>
      </c>
      <c r="E168" t="s">
        <v>13</v>
      </c>
      <c r="F168" s="14" t="s">
        <v>14</v>
      </c>
      <c r="G168" s="12">
        <v>599</v>
      </c>
      <c r="H168" s="12">
        <v>299</v>
      </c>
      <c r="I168" s="17">
        <v>381.2</v>
      </c>
      <c r="J168" s="13">
        <v>228338.8</v>
      </c>
      <c r="K168" s="13">
        <v>113978.8</v>
      </c>
      <c r="L168" s="18">
        <f t="shared" si="8"/>
        <v>114360</v>
      </c>
      <c r="M168" s="19">
        <f t="shared" si="9"/>
        <v>0.499165275459099</v>
      </c>
    </row>
    <row r="169" spans="1:13">
      <c r="A169" s="10">
        <v>10177</v>
      </c>
      <c r="B169" s="11">
        <v>44867</v>
      </c>
      <c r="C169" t="str">
        <f t="shared" si="11"/>
        <v>Nov</v>
      </c>
      <c r="D169" t="s">
        <v>24</v>
      </c>
      <c r="E169" t="s">
        <v>15</v>
      </c>
      <c r="F169" s="14" t="s">
        <v>14</v>
      </c>
      <c r="G169" s="12">
        <v>1299</v>
      </c>
      <c r="H169" s="12">
        <v>459</v>
      </c>
      <c r="I169" s="17">
        <v>415.3</v>
      </c>
      <c r="J169" s="13">
        <v>539474.7</v>
      </c>
      <c r="K169" s="13">
        <v>190622.7</v>
      </c>
      <c r="L169" s="18">
        <f t="shared" si="8"/>
        <v>348852</v>
      </c>
      <c r="M169" s="19">
        <f t="shared" si="9"/>
        <v>0.353348729792148</v>
      </c>
    </row>
    <row r="170" spans="1:13">
      <c r="A170" s="10">
        <v>10178</v>
      </c>
      <c r="B170" s="11">
        <v>44869</v>
      </c>
      <c r="C170" t="str">
        <f t="shared" si="11"/>
        <v>Nov</v>
      </c>
      <c r="D170" t="s">
        <v>20</v>
      </c>
      <c r="E170" t="s">
        <v>21</v>
      </c>
      <c r="F170" t="s">
        <v>19</v>
      </c>
      <c r="G170" s="13">
        <v>1099</v>
      </c>
      <c r="H170" s="13">
        <v>289</v>
      </c>
      <c r="I170" s="17">
        <v>250.4</v>
      </c>
      <c r="J170" s="13">
        <v>275189.6</v>
      </c>
      <c r="K170" s="13">
        <v>72365.6</v>
      </c>
      <c r="L170" s="18">
        <f t="shared" si="8"/>
        <v>202824</v>
      </c>
      <c r="M170" s="19">
        <f t="shared" si="9"/>
        <v>0.262966333030027</v>
      </c>
    </row>
    <row r="171" spans="1:13">
      <c r="A171" s="10">
        <v>10179</v>
      </c>
      <c r="B171" s="11">
        <v>44871</v>
      </c>
      <c r="C171" t="str">
        <f t="shared" si="11"/>
        <v>Nov</v>
      </c>
      <c r="D171" t="s">
        <v>12</v>
      </c>
      <c r="E171" t="s">
        <v>15</v>
      </c>
      <c r="F171" t="s">
        <v>19</v>
      </c>
      <c r="G171" s="12">
        <v>449</v>
      </c>
      <c r="H171" s="12">
        <v>159</v>
      </c>
      <c r="I171" s="17">
        <v>280.1</v>
      </c>
      <c r="J171" s="13">
        <v>125764.9</v>
      </c>
      <c r="K171" s="13">
        <v>44535.9</v>
      </c>
      <c r="L171" s="18">
        <f t="shared" si="8"/>
        <v>81229</v>
      </c>
      <c r="M171" s="19">
        <f t="shared" si="9"/>
        <v>0.354120267260579</v>
      </c>
    </row>
    <row r="172" spans="1:13">
      <c r="A172" s="10">
        <v>10180</v>
      </c>
      <c r="B172" s="11">
        <v>44873</v>
      </c>
      <c r="C172" t="str">
        <f t="shared" si="11"/>
        <v>Nov</v>
      </c>
      <c r="D172" t="s">
        <v>17</v>
      </c>
      <c r="E172" t="s">
        <v>15</v>
      </c>
      <c r="F172" s="14" t="s">
        <v>14</v>
      </c>
      <c r="G172" s="12">
        <v>199</v>
      </c>
      <c r="H172" s="12">
        <v>39</v>
      </c>
      <c r="I172" s="17">
        <v>214.9</v>
      </c>
      <c r="J172" s="13">
        <v>42765.1</v>
      </c>
      <c r="K172" s="13">
        <v>8381.1</v>
      </c>
      <c r="L172" s="18">
        <f t="shared" si="8"/>
        <v>34384</v>
      </c>
      <c r="M172" s="19">
        <f t="shared" si="9"/>
        <v>0.195979899497487</v>
      </c>
    </row>
    <row r="173" spans="1:13">
      <c r="A173" s="10">
        <v>10181</v>
      </c>
      <c r="B173" s="11">
        <v>44875</v>
      </c>
      <c r="C173" t="str">
        <f t="shared" si="11"/>
        <v>Nov</v>
      </c>
      <c r="D173" t="s">
        <v>24</v>
      </c>
      <c r="E173" t="s">
        <v>15</v>
      </c>
      <c r="F173" t="s">
        <v>16</v>
      </c>
      <c r="G173" s="12">
        <v>599</v>
      </c>
      <c r="H173" s="12">
        <v>299</v>
      </c>
      <c r="I173" s="17">
        <v>319.2</v>
      </c>
      <c r="J173" s="13">
        <v>191200.8</v>
      </c>
      <c r="K173" s="13">
        <v>95440.8</v>
      </c>
      <c r="L173" s="18">
        <f t="shared" si="8"/>
        <v>95760</v>
      </c>
      <c r="M173" s="19">
        <f t="shared" si="9"/>
        <v>0.499165275459099</v>
      </c>
    </row>
    <row r="174" spans="1:13">
      <c r="A174" s="10">
        <v>10182</v>
      </c>
      <c r="B174" s="11">
        <v>44877</v>
      </c>
      <c r="C174" t="str">
        <f t="shared" si="11"/>
        <v>Nov</v>
      </c>
      <c r="D174" t="s">
        <v>24</v>
      </c>
      <c r="E174" t="s">
        <v>21</v>
      </c>
      <c r="F174" t="s">
        <v>16</v>
      </c>
      <c r="G174" s="12">
        <v>1299</v>
      </c>
      <c r="H174" s="12">
        <v>459</v>
      </c>
      <c r="I174" s="17">
        <v>209.9</v>
      </c>
      <c r="J174" s="13">
        <v>272660.1</v>
      </c>
      <c r="K174" s="13">
        <v>96344.1</v>
      </c>
      <c r="L174" s="18">
        <f t="shared" si="8"/>
        <v>176316</v>
      </c>
      <c r="M174" s="19">
        <f t="shared" si="9"/>
        <v>0.353348729792148</v>
      </c>
    </row>
    <row r="175" spans="1:13">
      <c r="A175" s="10">
        <v>10183</v>
      </c>
      <c r="B175" s="11">
        <v>44879</v>
      </c>
      <c r="C175" t="str">
        <f t="shared" si="11"/>
        <v>Nov</v>
      </c>
      <c r="D175" t="s">
        <v>24</v>
      </c>
      <c r="E175" s="14" t="s">
        <v>18</v>
      </c>
      <c r="F175" t="s">
        <v>16</v>
      </c>
      <c r="G175" s="13">
        <v>1099</v>
      </c>
      <c r="H175" s="13">
        <v>289</v>
      </c>
      <c r="I175" s="17">
        <v>197.9</v>
      </c>
      <c r="J175" s="13">
        <v>217492.1</v>
      </c>
      <c r="K175" s="13">
        <v>57193.1</v>
      </c>
      <c r="L175" s="18">
        <f t="shared" si="8"/>
        <v>160299</v>
      </c>
      <c r="M175" s="19">
        <f t="shared" si="9"/>
        <v>0.262966333030027</v>
      </c>
    </row>
    <row r="176" spans="1:13">
      <c r="A176" s="10">
        <v>10184</v>
      </c>
      <c r="B176" s="11">
        <v>44879</v>
      </c>
      <c r="C176" t="str">
        <f t="shared" si="11"/>
        <v>Nov</v>
      </c>
      <c r="D176" t="s">
        <v>12</v>
      </c>
      <c r="E176" s="14" t="s">
        <v>18</v>
      </c>
      <c r="F176" t="s">
        <v>16</v>
      </c>
      <c r="G176" s="13">
        <v>1099</v>
      </c>
      <c r="H176" s="13">
        <v>289</v>
      </c>
      <c r="I176" s="17">
        <v>122.2</v>
      </c>
      <c r="J176" s="13">
        <v>134297.8</v>
      </c>
      <c r="K176" s="13">
        <v>35315.8</v>
      </c>
      <c r="L176" s="18">
        <f t="shared" si="8"/>
        <v>98982</v>
      </c>
      <c r="M176" s="19">
        <f t="shared" si="9"/>
        <v>0.262966333030027</v>
      </c>
    </row>
    <row r="177" spans="1:13">
      <c r="A177" s="10">
        <v>10185</v>
      </c>
      <c r="B177" s="11">
        <v>44879</v>
      </c>
      <c r="C177" t="str">
        <f t="shared" si="11"/>
        <v>Nov</v>
      </c>
      <c r="D177" t="s">
        <v>24</v>
      </c>
      <c r="E177" s="14" t="s">
        <v>18</v>
      </c>
      <c r="F177" t="s">
        <v>16</v>
      </c>
      <c r="G177" s="12">
        <v>199</v>
      </c>
      <c r="H177" s="12">
        <v>39</v>
      </c>
      <c r="I177" s="17">
        <v>379.3</v>
      </c>
      <c r="J177" s="13">
        <v>75480.7</v>
      </c>
      <c r="K177" s="13">
        <v>14792.7</v>
      </c>
      <c r="L177" s="18">
        <f t="shared" si="8"/>
        <v>60688</v>
      </c>
      <c r="M177" s="19">
        <f t="shared" si="9"/>
        <v>0.195979899497487</v>
      </c>
    </row>
    <row r="178" spans="1:13">
      <c r="A178" s="10">
        <v>10186</v>
      </c>
      <c r="B178" s="11">
        <v>44879</v>
      </c>
      <c r="C178" t="str">
        <f t="shared" si="11"/>
        <v>Nov</v>
      </c>
      <c r="D178" t="s">
        <v>20</v>
      </c>
      <c r="E178" s="14" t="s">
        <v>18</v>
      </c>
      <c r="F178" t="s">
        <v>16</v>
      </c>
      <c r="G178" s="12">
        <v>449</v>
      </c>
      <c r="H178" s="12">
        <v>159</v>
      </c>
      <c r="I178" s="17">
        <v>120.8</v>
      </c>
      <c r="J178" s="13">
        <v>54239.2</v>
      </c>
      <c r="K178" s="13">
        <v>19207.2</v>
      </c>
      <c r="L178" s="18">
        <f t="shared" si="8"/>
        <v>35032</v>
      </c>
      <c r="M178" s="19">
        <f t="shared" si="9"/>
        <v>0.354120267260579</v>
      </c>
    </row>
    <row r="179" spans="1:13">
      <c r="A179" s="10">
        <v>10187</v>
      </c>
      <c r="B179" s="11">
        <v>44879</v>
      </c>
      <c r="C179" t="str">
        <f t="shared" si="11"/>
        <v>Nov</v>
      </c>
      <c r="D179" t="s">
        <v>17</v>
      </c>
      <c r="E179" s="14" t="s">
        <v>18</v>
      </c>
      <c r="F179" t="s">
        <v>16</v>
      </c>
      <c r="G179" s="12">
        <v>449</v>
      </c>
      <c r="H179" s="12">
        <v>159</v>
      </c>
      <c r="I179" s="17">
        <v>454.3</v>
      </c>
      <c r="J179" s="13">
        <v>203980.7</v>
      </c>
      <c r="K179" s="13">
        <v>72233.7</v>
      </c>
      <c r="L179" s="18">
        <f t="shared" si="8"/>
        <v>131747</v>
      </c>
      <c r="M179" s="19">
        <f t="shared" si="9"/>
        <v>0.354120267260579</v>
      </c>
    </row>
    <row r="180" spans="1:13">
      <c r="A180" s="10">
        <v>10188</v>
      </c>
      <c r="B180" s="11">
        <v>44881</v>
      </c>
      <c r="C180" t="str">
        <f t="shared" si="11"/>
        <v>Nov</v>
      </c>
      <c r="D180" t="s">
        <v>12</v>
      </c>
      <c r="E180" t="s">
        <v>15</v>
      </c>
      <c r="F180" t="s">
        <v>16</v>
      </c>
      <c r="G180" s="12">
        <v>199</v>
      </c>
      <c r="H180" s="12">
        <v>39</v>
      </c>
      <c r="I180" s="17">
        <v>245.8</v>
      </c>
      <c r="J180" s="13">
        <v>48914.2</v>
      </c>
      <c r="K180" s="13">
        <v>9586.2</v>
      </c>
      <c r="L180" s="18">
        <f t="shared" si="8"/>
        <v>39328</v>
      </c>
      <c r="M180" s="19">
        <f t="shared" si="9"/>
        <v>0.195979899497487</v>
      </c>
    </row>
    <row r="181" spans="1:13">
      <c r="A181" s="10">
        <v>10189</v>
      </c>
      <c r="B181" s="11">
        <v>44883</v>
      </c>
      <c r="C181" t="str">
        <f t="shared" si="11"/>
        <v>Nov</v>
      </c>
      <c r="D181" t="s">
        <v>23</v>
      </c>
      <c r="E181" s="14" t="s">
        <v>13</v>
      </c>
      <c r="F181" t="s">
        <v>16</v>
      </c>
      <c r="G181" s="12">
        <v>199</v>
      </c>
      <c r="H181" s="12">
        <v>39</v>
      </c>
      <c r="I181" s="17">
        <v>285.5</v>
      </c>
      <c r="J181" s="13">
        <v>56814.5</v>
      </c>
      <c r="K181" s="13">
        <v>11134.5</v>
      </c>
      <c r="L181" s="18">
        <f t="shared" si="8"/>
        <v>45680</v>
      </c>
      <c r="M181" s="19">
        <f t="shared" si="9"/>
        <v>0.195979899497487</v>
      </c>
    </row>
    <row r="182" spans="1:13">
      <c r="A182" s="10">
        <v>10190</v>
      </c>
      <c r="B182" s="11">
        <v>44879</v>
      </c>
      <c r="C182" t="str">
        <f t="shared" si="11"/>
        <v>Nov</v>
      </c>
      <c r="D182" t="s">
        <v>24</v>
      </c>
      <c r="E182" t="s">
        <v>21</v>
      </c>
      <c r="F182" s="14" t="s">
        <v>14</v>
      </c>
      <c r="G182" s="12">
        <v>199</v>
      </c>
      <c r="H182" s="12">
        <v>39</v>
      </c>
      <c r="I182" s="17">
        <v>242.1</v>
      </c>
      <c r="J182" s="13">
        <v>48177.9</v>
      </c>
      <c r="K182" s="13">
        <v>9441.9</v>
      </c>
      <c r="L182" s="18">
        <f t="shared" si="8"/>
        <v>38736</v>
      </c>
      <c r="M182" s="19">
        <f t="shared" si="9"/>
        <v>0.195979899497487</v>
      </c>
    </row>
    <row r="183" spans="1:13">
      <c r="A183" s="10">
        <v>10191</v>
      </c>
      <c r="B183" s="11">
        <v>44881</v>
      </c>
      <c r="C183" t="str">
        <f t="shared" si="11"/>
        <v>Nov</v>
      </c>
      <c r="D183" t="s">
        <v>20</v>
      </c>
      <c r="E183" t="s">
        <v>21</v>
      </c>
      <c r="F183" t="s">
        <v>16</v>
      </c>
      <c r="G183" s="12">
        <v>599</v>
      </c>
      <c r="H183" s="12">
        <v>299</v>
      </c>
      <c r="I183" s="17">
        <v>133.9</v>
      </c>
      <c r="J183" s="13">
        <v>80206.1</v>
      </c>
      <c r="K183" s="13">
        <v>40036.1</v>
      </c>
      <c r="L183" s="18">
        <f t="shared" si="8"/>
        <v>40170</v>
      </c>
      <c r="M183" s="19">
        <f t="shared" si="9"/>
        <v>0.499165275459098</v>
      </c>
    </row>
    <row r="184" spans="1:13">
      <c r="A184" s="10">
        <v>10192</v>
      </c>
      <c r="B184" s="11">
        <v>44883</v>
      </c>
      <c r="C184" t="str">
        <f t="shared" si="11"/>
        <v>Nov</v>
      </c>
      <c r="D184" t="s">
        <v>17</v>
      </c>
      <c r="E184" t="s">
        <v>21</v>
      </c>
      <c r="F184" s="14" t="s">
        <v>14</v>
      </c>
      <c r="G184" s="12">
        <v>599</v>
      </c>
      <c r="H184" s="12">
        <v>299</v>
      </c>
      <c r="I184" s="17">
        <v>288.6</v>
      </c>
      <c r="J184" s="13">
        <v>172871.4</v>
      </c>
      <c r="K184" s="13">
        <v>86291.4</v>
      </c>
      <c r="L184" s="18">
        <f t="shared" si="8"/>
        <v>86580</v>
      </c>
      <c r="M184" s="19">
        <f t="shared" si="9"/>
        <v>0.499165275459099</v>
      </c>
    </row>
    <row r="185" spans="1:13">
      <c r="A185" s="10">
        <v>10193</v>
      </c>
      <c r="B185" s="11">
        <v>44885</v>
      </c>
      <c r="C185" t="str">
        <f t="shared" si="11"/>
        <v>Nov</v>
      </c>
      <c r="D185" t="s">
        <v>12</v>
      </c>
      <c r="E185" t="s">
        <v>15</v>
      </c>
      <c r="F185" t="s">
        <v>16</v>
      </c>
      <c r="G185" s="12">
        <v>199</v>
      </c>
      <c r="H185" s="12">
        <v>39</v>
      </c>
      <c r="I185" s="17">
        <v>200.1</v>
      </c>
      <c r="J185" s="13">
        <v>39819.9</v>
      </c>
      <c r="K185" s="13">
        <v>7803.9</v>
      </c>
      <c r="L185" s="18">
        <f t="shared" si="8"/>
        <v>32016</v>
      </c>
      <c r="M185" s="19">
        <f t="shared" si="9"/>
        <v>0.195979899497487</v>
      </c>
    </row>
    <row r="186" spans="1:13">
      <c r="A186" s="10">
        <v>10194</v>
      </c>
      <c r="B186" s="11">
        <v>44879</v>
      </c>
      <c r="C186" t="str">
        <f t="shared" si="11"/>
        <v>Nov</v>
      </c>
      <c r="D186" t="s">
        <v>12</v>
      </c>
      <c r="E186" t="s">
        <v>13</v>
      </c>
      <c r="F186" t="s">
        <v>19</v>
      </c>
      <c r="G186" s="13">
        <v>1099</v>
      </c>
      <c r="H186" s="13">
        <v>289</v>
      </c>
      <c r="I186" s="17">
        <v>213.8</v>
      </c>
      <c r="J186" s="13">
        <v>234966.2</v>
      </c>
      <c r="K186" s="13">
        <v>61788.2</v>
      </c>
      <c r="L186" s="18">
        <f t="shared" si="8"/>
        <v>173178</v>
      </c>
      <c r="M186" s="19">
        <f t="shared" si="9"/>
        <v>0.262966333030027</v>
      </c>
    </row>
    <row r="187" spans="1:13">
      <c r="A187" s="10">
        <v>10195</v>
      </c>
      <c r="B187" s="11">
        <v>44881</v>
      </c>
      <c r="C187" t="str">
        <f t="shared" si="11"/>
        <v>Nov</v>
      </c>
      <c r="D187" t="s">
        <v>24</v>
      </c>
      <c r="E187" t="s">
        <v>21</v>
      </c>
      <c r="F187" t="s">
        <v>22</v>
      </c>
      <c r="G187" s="12">
        <v>1299</v>
      </c>
      <c r="H187" s="12">
        <v>459</v>
      </c>
      <c r="I187" s="17">
        <v>124</v>
      </c>
      <c r="J187" s="13">
        <v>161076</v>
      </c>
      <c r="K187" s="13">
        <v>56916</v>
      </c>
      <c r="L187" s="18">
        <f t="shared" si="8"/>
        <v>104160</v>
      </c>
      <c r="M187" s="19">
        <f t="shared" si="9"/>
        <v>0.353348729792148</v>
      </c>
    </row>
    <row r="188" spans="1:13">
      <c r="A188" s="10">
        <v>10196</v>
      </c>
      <c r="B188" s="11">
        <v>44883</v>
      </c>
      <c r="C188" t="str">
        <f t="shared" si="11"/>
        <v>Nov</v>
      </c>
      <c r="D188" t="s">
        <v>23</v>
      </c>
      <c r="E188" t="s">
        <v>13</v>
      </c>
      <c r="F188" t="s">
        <v>16</v>
      </c>
      <c r="G188" s="12">
        <v>199</v>
      </c>
      <c r="H188" s="12">
        <v>39</v>
      </c>
      <c r="I188" s="17">
        <v>285.1</v>
      </c>
      <c r="J188" s="13">
        <v>56734.9</v>
      </c>
      <c r="K188" s="13">
        <v>11118.9</v>
      </c>
      <c r="L188" s="18">
        <f t="shared" si="8"/>
        <v>45616</v>
      </c>
      <c r="M188" s="19">
        <f t="shared" si="9"/>
        <v>0.195979899497487</v>
      </c>
    </row>
    <row r="189" spans="1:13">
      <c r="A189" s="10">
        <v>10197</v>
      </c>
      <c r="B189" s="11">
        <v>44885</v>
      </c>
      <c r="C189" t="str">
        <f t="shared" si="11"/>
        <v>Nov</v>
      </c>
      <c r="D189" t="s">
        <v>23</v>
      </c>
      <c r="E189" t="s">
        <v>13</v>
      </c>
      <c r="F189" t="s">
        <v>16</v>
      </c>
      <c r="G189" s="12">
        <v>199</v>
      </c>
      <c r="H189" s="12">
        <v>39</v>
      </c>
      <c r="I189" s="17">
        <v>228.9</v>
      </c>
      <c r="J189" s="13">
        <v>45551.1</v>
      </c>
      <c r="K189" s="13">
        <v>8927.1</v>
      </c>
      <c r="L189" s="18">
        <f t="shared" si="8"/>
        <v>36624</v>
      </c>
      <c r="M189" s="19">
        <f t="shared" si="9"/>
        <v>0.195979899497487</v>
      </c>
    </row>
    <row r="190" spans="1:13">
      <c r="A190" s="10">
        <v>10198</v>
      </c>
      <c r="B190" s="11">
        <v>44887</v>
      </c>
      <c r="C190" t="str">
        <f t="shared" si="11"/>
        <v>Nov</v>
      </c>
      <c r="D190" t="s">
        <v>24</v>
      </c>
      <c r="E190" t="s">
        <v>13</v>
      </c>
      <c r="F190" t="s">
        <v>22</v>
      </c>
      <c r="G190" s="12">
        <v>199</v>
      </c>
      <c r="H190" s="12">
        <v>39</v>
      </c>
      <c r="I190" s="17">
        <v>361</v>
      </c>
      <c r="J190" s="13">
        <v>71839</v>
      </c>
      <c r="K190" s="13">
        <v>14079</v>
      </c>
      <c r="L190" s="18">
        <f t="shared" si="8"/>
        <v>57760</v>
      </c>
      <c r="M190" s="19">
        <f t="shared" si="9"/>
        <v>0.195979899497487</v>
      </c>
    </row>
    <row r="191" spans="1:13">
      <c r="A191" s="10">
        <v>10199</v>
      </c>
      <c r="B191" s="11">
        <v>44889</v>
      </c>
      <c r="C191" t="str">
        <f t="shared" si="11"/>
        <v>Nov</v>
      </c>
      <c r="D191" t="s">
        <v>24</v>
      </c>
      <c r="E191" t="s">
        <v>13</v>
      </c>
      <c r="F191" t="s">
        <v>16</v>
      </c>
      <c r="G191" s="12">
        <v>1099</v>
      </c>
      <c r="H191" s="12">
        <v>289</v>
      </c>
      <c r="I191" s="17">
        <v>425.7</v>
      </c>
      <c r="J191" s="13">
        <v>467844.3</v>
      </c>
      <c r="K191" s="13">
        <v>123027.3</v>
      </c>
      <c r="L191" s="18">
        <f t="shared" si="8"/>
        <v>344817</v>
      </c>
      <c r="M191" s="19">
        <f t="shared" si="9"/>
        <v>0.262966333030027</v>
      </c>
    </row>
    <row r="192" spans="1:13">
      <c r="A192" s="10">
        <v>10200</v>
      </c>
      <c r="B192" s="11">
        <v>44909</v>
      </c>
      <c r="C192" t="str">
        <f t="shared" si="11"/>
        <v>Dec</v>
      </c>
      <c r="D192" t="s">
        <v>24</v>
      </c>
      <c r="E192" t="s">
        <v>21</v>
      </c>
      <c r="F192" s="14" t="s">
        <v>14</v>
      </c>
      <c r="G192" s="12">
        <v>199</v>
      </c>
      <c r="H192" s="12">
        <v>39</v>
      </c>
      <c r="I192" s="17">
        <v>242.1</v>
      </c>
      <c r="J192" s="13">
        <v>48177.9</v>
      </c>
      <c r="K192" s="13">
        <v>9441.9</v>
      </c>
      <c r="L192" s="18">
        <f t="shared" si="8"/>
        <v>38736</v>
      </c>
      <c r="M192" s="19">
        <f t="shared" si="9"/>
        <v>0.195979899497487</v>
      </c>
    </row>
    <row r="193" spans="1:13">
      <c r="A193" s="10">
        <v>10201</v>
      </c>
      <c r="B193" s="11">
        <v>44911</v>
      </c>
      <c r="C193" t="str">
        <f t="shared" si="11"/>
        <v>Dec</v>
      </c>
      <c r="D193" t="s">
        <v>20</v>
      </c>
      <c r="E193" t="s">
        <v>21</v>
      </c>
      <c r="F193" t="s">
        <v>16</v>
      </c>
      <c r="G193" s="12">
        <v>599</v>
      </c>
      <c r="H193" s="12">
        <v>299</v>
      </c>
      <c r="I193" s="17">
        <v>133.9</v>
      </c>
      <c r="J193" s="13">
        <v>80206.1</v>
      </c>
      <c r="K193" s="13">
        <v>40036.1</v>
      </c>
      <c r="L193" s="18">
        <f t="shared" si="8"/>
        <v>40170</v>
      </c>
      <c r="M193" s="19">
        <f t="shared" si="9"/>
        <v>0.499165275459098</v>
      </c>
    </row>
    <row r="194" spans="1:13">
      <c r="A194" s="10">
        <v>10202</v>
      </c>
      <c r="B194" s="11">
        <v>44913</v>
      </c>
      <c r="C194" t="str">
        <f t="shared" si="11"/>
        <v>Dec</v>
      </c>
      <c r="D194" t="s">
        <v>17</v>
      </c>
      <c r="E194" t="s">
        <v>21</v>
      </c>
      <c r="F194" s="14" t="s">
        <v>14</v>
      </c>
      <c r="G194" s="12">
        <v>599</v>
      </c>
      <c r="H194" s="12">
        <v>299</v>
      </c>
      <c r="I194" s="17">
        <v>288.6</v>
      </c>
      <c r="J194" s="13">
        <v>172871.4</v>
      </c>
      <c r="K194" s="13">
        <v>86291.4</v>
      </c>
      <c r="L194" s="18">
        <f t="shared" ref="L194:L200" si="12">J194-K194</f>
        <v>86580</v>
      </c>
      <c r="M194" s="19">
        <f t="shared" ref="M194:M200" si="13">K194/J194</f>
        <v>0.499165275459099</v>
      </c>
    </row>
    <row r="195" spans="1:13">
      <c r="A195" s="10">
        <v>10203</v>
      </c>
      <c r="B195" s="11">
        <v>44915</v>
      </c>
      <c r="C195" t="str">
        <f t="shared" si="11"/>
        <v>Dec</v>
      </c>
      <c r="D195" t="s">
        <v>12</v>
      </c>
      <c r="E195" t="s">
        <v>15</v>
      </c>
      <c r="F195" t="s">
        <v>16</v>
      </c>
      <c r="G195" s="12">
        <v>199</v>
      </c>
      <c r="H195" s="12">
        <v>39</v>
      </c>
      <c r="I195" s="17">
        <v>200.1</v>
      </c>
      <c r="J195" s="13">
        <v>39819.9</v>
      </c>
      <c r="K195" s="13">
        <v>7803.9</v>
      </c>
      <c r="L195" s="18">
        <f t="shared" si="12"/>
        <v>32016</v>
      </c>
      <c r="M195" s="19">
        <f t="shared" si="13"/>
        <v>0.195979899497487</v>
      </c>
    </row>
    <row r="196" spans="1:13">
      <c r="A196" s="10">
        <v>10204</v>
      </c>
      <c r="B196" s="11">
        <v>44917</v>
      </c>
      <c r="C196" t="str">
        <f t="shared" si="11"/>
        <v>Dec</v>
      </c>
      <c r="D196" t="s">
        <v>12</v>
      </c>
      <c r="E196" t="s">
        <v>13</v>
      </c>
      <c r="F196" t="s">
        <v>19</v>
      </c>
      <c r="G196" s="13">
        <v>1099</v>
      </c>
      <c r="H196" s="13">
        <v>289</v>
      </c>
      <c r="I196" s="17">
        <v>213.8</v>
      </c>
      <c r="J196" s="13">
        <v>234966.2</v>
      </c>
      <c r="K196" s="13">
        <v>61788.2</v>
      </c>
      <c r="L196" s="18">
        <f t="shared" si="12"/>
        <v>173178</v>
      </c>
      <c r="M196" s="19">
        <f t="shared" si="13"/>
        <v>0.262966333030027</v>
      </c>
    </row>
    <row r="197" spans="1:13">
      <c r="A197" s="10">
        <v>10205</v>
      </c>
      <c r="B197" s="11">
        <v>44919</v>
      </c>
      <c r="C197" t="str">
        <f t="shared" si="11"/>
        <v>Dec</v>
      </c>
      <c r="D197" t="s">
        <v>24</v>
      </c>
      <c r="E197" t="s">
        <v>21</v>
      </c>
      <c r="F197" t="s">
        <v>22</v>
      </c>
      <c r="G197" s="12">
        <v>1299</v>
      </c>
      <c r="H197" s="12">
        <v>459</v>
      </c>
      <c r="I197" s="17">
        <v>124</v>
      </c>
      <c r="J197" s="13">
        <v>161076</v>
      </c>
      <c r="K197" s="13">
        <v>56916</v>
      </c>
      <c r="L197" s="18">
        <f t="shared" si="12"/>
        <v>104160</v>
      </c>
      <c r="M197" s="19">
        <f t="shared" si="13"/>
        <v>0.353348729792148</v>
      </c>
    </row>
    <row r="198" spans="1:13">
      <c r="A198" s="10">
        <v>10206</v>
      </c>
      <c r="B198" s="11">
        <v>44921</v>
      </c>
      <c r="C198" t="str">
        <f t="shared" si="11"/>
        <v>Dec</v>
      </c>
      <c r="D198" t="s">
        <v>23</v>
      </c>
      <c r="E198" t="s">
        <v>13</v>
      </c>
      <c r="F198" t="s">
        <v>16</v>
      </c>
      <c r="G198" s="12">
        <v>199</v>
      </c>
      <c r="H198" s="12">
        <v>39</v>
      </c>
      <c r="I198" s="17">
        <v>285.1</v>
      </c>
      <c r="J198" s="13">
        <v>56734.9</v>
      </c>
      <c r="K198" s="13">
        <v>11118.9</v>
      </c>
      <c r="L198" s="18">
        <f t="shared" si="12"/>
        <v>45616</v>
      </c>
      <c r="M198" s="19">
        <f t="shared" si="13"/>
        <v>0.195979899497487</v>
      </c>
    </row>
    <row r="199" spans="1:13">
      <c r="A199" s="10">
        <v>10207</v>
      </c>
      <c r="B199" s="11">
        <v>44923</v>
      </c>
      <c r="C199" t="str">
        <f t="shared" si="11"/>
        <v>Dec</v>
      </c>
      <c r="D199" t="s">
        <v>23</v>
      </c>
      <c r="E199" t="s">
        <v>13</v>
      </c>
      <c r="F199" t="s">
        <v>16</v>
      </c>
      <c r="G199" s="12">
        <v>199</v>
      </c>
      <c r="H199" s="12">
        <v>39</v>
      </c>
      <c r="I199" s="17">
        <v>228.9</v>
      </c>
      <c r="J199" s="13">
        <v>45551.1</v>
      </c>
      <c r="K199" s="13">
        <v>8927.1</v>
      </c>
      <c r="L199" s="18">
        <f t="shared" si="12"/>
        <v>36624</v>
      </c>
      <c r="M199" s="19">
        <f t="shared" si="13"/>
        <v>0.195979899497487</v>
      </c>
    </row>
    <row r="200" spans="1:13">
      <c r="A200" s="10">
        <v>10208</v>
      </c>
      <c r="B200" s="11">
        <v>44925</v>
      </c>
      <c r="C200" t="str">
        <f t="shared" si="11"/>
        <v>Dec</v>
      </c>
      <c r="D200" t="s">
        <v>24</v>
      </c>
      <c r="E200" t="s">
        <v>13</v>
      </c>
      <c r="F200" t="s">
        <v>22</v>
      </c>
      <c r="G200" s="12">
        <v>199</v>
      </c>
      <c r="H200" s="12">
        <v>39</v>
      </c>
      <c r="I200" s="17">
        <v>361</v>
      </c>
      <c r="J200" s="13">
        <v>71839</v>
      </c>
      <c r="K200" s="13">
        <v>14079</v>
      </c>
      <c r="L200" s="18">
        <f t="shared" si="12"/>
        <v>57760</v>
      </c>
      <c r="M200" s="19">
        <f t="shared" si="13"/>
        <v>0.195979899497487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53"/>
  <sheetViews>
    <sheetView topLeftCell="A28" workbookViewId="0">
      <selection activeCell="A47" sqref="A47"/>
    </sheetView>
  </sheetViews>
  <sheetFormatPr defaultColWidth="9" defaultRowHeight="15.75" outlineLevelCol="4"/>
  <cols>
    <col min="1" max="1" width="15.375"/>
    <col min="2" max="2" width="16.625"/>
    <col min="3" max="3" width="15.875"/>
    <col min="4" max="5" width="32.125"/>
    <col min="6" max="101" width="12.125"/>
    <col min="102" max="102" width="11"/>
    <col min="103" max="201" width="15.875"/>
    <col min="202" max="202" width="21"/>
    <col min="203" max="203" width="17.125"/>
  </cols>
  <sheetData>
    <row r="2" spans="1:5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</row>
    <row r="3" spans="1:5">
      <c r="A3" s="4">
        <v>54326.5</v>
      </c>
      <c r="B3" s="4">
        <v>36117848.5</v>
      </c>
      <c r="C3" s="4">
        <v>12061929.5</v>
      </c>
      <c r="D3" s="4">
        <v>24055919</v>
      </c>
      <c r="E3" s="4">
        <v>0.310429489063336</v>
      </c>
    </row>
    <row r="6" spans="1:3">
      <c r="A6" t="s">
        <v>25</v>
      </c>
      <c r="B6" t="s">
        <v>27</v>
      </c>
      <c r="C6" t="s">
        <v>29</v>
      </c>
    </row>
    <row r="7" spans="1:3">
      <c r="A7" t="s">
        <v>31</v>
      </c>
      <c r="B7">
        <v>911242.5</v>
      </c>
      <c r="C7">
        <v>614840</v>
      </c>
    </row>
    <row r="8" spans="1:3">
      <c r="A8" t="s">
        <v>32</v>
      </c>
      <c r="B8">
        <v>1793351.6</v>
      </c>
      <c r="C8">
        <v>1166932</v>
      </c>
    </row>
    <row r="9" spans="1:3">
      <c r="A9" t="s">
        <v>33</v>
      </c>
      <c r="B9">
        <v>1981907.3</v>
      </c>
      <c r="C9">
        <v>1389456</v>
      </c>
    </row>
    <row r="10" spans="1:3">
      <c r="A10" t="s">
        <v>34</v>
      </c>
      <c r="B10">
        <v>2111356</v>
      </c>
      <c r="C10">
        <v>1462150</v>
      </c>
    </row>
    <row r="11" spans="1:3">
      <c r="A11" t="s">
        <v>35</v>
      </c>
      <c r="B11">
        <v>2783595</v>
      </c>
      <c r="C11">
        <v>1758368</v>
      </c>
    </row>
    <row r="12" spans="1:3">
      <c r="A12" t="s">
        <v>36</v>
      </c>
      <c r="B12">
        <v>2860549.6</v>
      </c>
      <c r="C12">
        <v>1805362</v>
      </c>
    </row>
    <row r="13" spans="1:3">
      <c r="A13" t="s">
        <v>37</v>
      </c>
      <c r="B13">
        <v>2986774.6</v>
      </c>
      <c r="C13">
        <v>2012362</v>
      </c>
    </row>
    <row r="14" spans="1:3">
      <c r="A14" t="s">
        <v>38</v>
      </c>
      <c r="B14">
        <v>3401660.1</v>
      </c>
      <c r="C14">
        <v>2178235</v>
      </c>
    </row>
    <row r="15" spans="1:3">
      <c r="A15" t="s">
        <v>39</v>
      </c>
      <c r="B15">
        <v>3419983.8</v>
      </c>
      <c r="C15">
        <v>2345618</v>
      </c>
    </row>
    <row r="16" spans="1:3">
      <c r="A16" t="s">
        <v>40</v>
      </c>
      <c r="B16">
        <v>3617361.2</v>
      </c>
      <c r="C16">
        <v>2470778</v>
      </c>
    </row>
    <row r="17" spans="1:3">
      <c r="A17" t="s">
        <v>41</v>
      </c>
      <c r="B17">
        <v>4558661.4</v>
      </c>
      <c r="C17">
        <v>3085812</v>
      </c>
    </row>
    <row r="18" spans="1:3">
      <c r="A18" t="s">
        <v>42</v>
      </c>
      <c r="B18">
        <v>5691405.4</v>
      </c>
      <c r="C18">
        <v>3766006</v>
      </c>
    </row>
    <row r="19" spans="1:3">
      <c r="A19" t="s">
        <v>43</v>
      </c>
      <c r="B19">
        <v>36117848.5</v>
      </c>
      <c r="C19">
        <v>24055919</v>
      </c>
    </row>
    <row r="23" spans="1:2">
      <c r="A23" t="s">
        <v>2</v>
      </c>
      <c r="B23" t="s">
        <v>29</v>
      </c>
    </row>
    <row r="24" spans="1:2">
      <c r="A24" t="s">
        <v>23</v>
      </c>
      <c r="B24">
        <v>2231309</v>
      </c>
    </row>
    <row r="25" spans="1:2">
      <c r="A25" t="s">
        <v>20</v>
      </c>
      <c r="B25">
        <v>3264320</v>
      </c>
    </row>
    <row r="26" spans="1:2">
      <c r="A26" t="s">
        <v>24</v>
      </c>
      <c r="B26">
        <v>5430033</v>
      </c>
    </row>
    <row r="27" spans="1:2">
      <c r="A27" t="s">
        <v>12</v>
      </c>
      <c r="B27">
        <v>6248921</v>
      </c>
    </row>
    <row r="28" spans="1:2">
      <c r="A28" t="s">
        <v>17</v>
      </c>
      <c r="B28">
        <v>6881336</v>
      </c>
    </row>
    <row r="29" spans="1:2">
      <c r="A29" t="s">
        <v>43</v>
      </c>
      <c r="B29">
        <v>24055919</v>
      </c>
    </row>
    <row r="36" spans="1:2">
      <c r="A36" t="s">
        <v>3</v>
      </c>
      <c r="B36" t="s">
        <v>29</v>
      </c>
    </row>
    <row r="37" spans="1:2">
      <c r="A37" t="s">
        <v>13</v>
      </c>
      <c r="B37">
        <v>4261469</v>
      </c>
    </row>
    <row r="38" spans="1:2">
      <c r="A38" t="s">
        <v>21</v>
      </c>
      <c r="B38">
        <v>5315774</v>
      </c>
    </row>
    <row r="39" spans="1:2">
      <c r="A39" t="s">
        <v>15</v>
      </c>
      <c r="B39">
        <v>5317763</v>
      </c>
    </row>
    <row r="40" spans="1:2">
      <c r="A40" t="s">
        <v>18</v>
      </c>
      <c r="B40">
        <v>9160913</v>
      </c>
    </row>
    <row r="41" spans="1:2">
      <c r="A41" t="s">
        <v>43</v>
      </c>
      <c r="B41">
        <v>24055919</v>
      </c>
    </row>
    <row r="48" spans="1:2">
      <c r="A48" t="s">
        <v>4</v>
      </c>
      <c r="B48" t="s">
        <v>27</v>
      </c>
    </row>
    <row r="49" spans="1:2">
      <c r="A49" t="s">
        <v>14</v>
      </c>
      <c r="B49">
        <v>11252837.5</v>
      </c>
    </row>
    <row r="50" spans="1:2">
      <c r="A50" t="s">
        <v>16</v>
      </c>
      <c r="B50">
        <v>10533494.4</v>
      </c>
    </row>
    <row r="51" spans="1:2">
      <c r="A51" t="s">
        <v>19</v>
      </c>
      <c r="B51">
        <v>9716649.9</v>
      </c>
    </row>
    <row r="52" spans="1:2">
      <c r="A52" t="s">
        <v>22</v>
      </c>
      <c r="B52">
        <v>4614866.7</v>
      </c>
    </row>
    <row r="53" spans="1:2">
      <c r="A53" t="s">
        <v>43</v>
      </c>
      <c r="B53">
        <v>36117848.5</v>
      </c>
    </row>
  </sheetData>
  <pageMargins left="0.75" right="0.75" top="1" bottom="1" header="0.5" footer="0.5"/>
  <headerFooter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showGridLines="0" tabSelected="1" workbookViewId="0">
      <selection activeCell="U8" sqref="U8"/>
    </sheetView>
  </sheetViews>
  <sheetFormatPr defaultColWidth="9" defaultRowHeight="15.75" outlineLevelRow="6"/>
  <cols>
    <col min="1" max="1" width="9.75" customWidth="1"/>
    <col min="2" max="2" width="11" customWidth="1"/>
    <col min="5" max="5" width="5.375" customWidth="1"/>
    <col min="7" max="7" width="10.125" customWidth="1"/>
    <col min="8" max="8" width="5.375" customWidth="1"/>
    <col min="10" max="10" width="9.875" customWidth="1"/>
    <col min="11" max="11" width="5.75" customWidth="1"/>
    <col min="13" max="13" width="9.5" customWidth="1"/>
    <col min="14" max="14" width="7.75" customWidth="1"/>
    <col min="16" max="16" width="9.875" customWidth="1"/>
  </cols>
  <sheetData>
    <row r="1" spans="1:16">
      <c r="A1" s="1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3:16">
      <c r="C4" s="3">
        <f>GETPIVOTDATA("Sum of Quantity",'Pivot Table'!$A$2)</f>
        <v>54326.5</v>
      </c>
      <c r="D4" s="3"/>
      <c r="F4" s="3">
        <f>GETPIVOTDATA("Sum of Revenues",'Pivot Table'!$A$2)</f>
        <v>36117848.5</v>
      </c>
      <c r="G4" s="3"/>
      <c r="I4" s="3">
        <f>GETPIVOTDATA("Sum of Expenses",'Pivot Table'!$A$2)</f>
        <v>12061929.5</v>
      </c>
      <c r="J4" s="3"/>
      <c r="L4" s="3">
        <f>GETPIVOTDATA("Sum of Profit",'Pivot Table'!$A$2)</f>
        <v>24055919</v>
      </c>
      <c r="M4" s="3"/>
      <c r="O4" s="3">
        <f>GETPIVOTDATA("Average of Expense/Revenue Ratio",'Pivot Table'!$A$2)</f>
        <v>0.310429489063336</v>
      </c>
      <c r="P4" s="3"/>
    </row>
    <row r="5" spans="3:16">
      <c r="C5" s="3"/>
      <c r="D5" s="3"/>
      <c r="F5" s="3"/>
      <c r="G5" s="3"/>
      <c r="I5" s="3"/>
      <c r="J5" s="3"/>
      <c r="L5" s="3"/>
      <c r="M5" s="3"/>
      <c r="O5" s="3"/>
      <c r="P5" s="3"/>
    </row>
    <row r="6" spans="3:16">
      <c r="C6" s="3"/>
      <c r="D6" s="3"/>
      <c r="F6" s="3"/>
      <c r="G6" s="3"/>
      <c r="I6" s="3"/>
      <c r="J6" s="3"/>
      <c r="L6" s="3"/>
      <c r="M6" s="3"/>
      <c r="O6" s="3"/>
      <c r="P6" s="3"/>
    </row>
    <row r="7" spans="3:16">
      <c r="C7" s="3"/>
      <c r="D7" s="3"/>
      <c r="F7" s="3"/>
      <c r="G7" s="3"/>
      <c r="I7" s="3"/>
      <c r="J7" s="3"/>
      <c r="L7" s="3"/>
      <c r="M7" s="3"/>
      <c r="O7" s="3"/>
      <c r="P7" s="3"/>
    </row>
  </sheetData>
  <mergeCells count="6">
    <mergeCell ref="F4:G7"/>
    <mergeCell ref="L4:M7"/>
    <mergeCell ref="C4:D7"/>
    <mergeCell ref="I4:J7"/>
    <mergeCell ref="O4:P7"/>
    <mergeCell ref="A1:P3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Working 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2023-01-23T07:48:00Z</dcterms:created>
  <dcterms:modified xsi:type="dcterms:W3CDTF">2026-02-08T19:22:49Z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2188445E641647C5830E6AE418386929_12</vt:lpwstr>
  </property>
</Properties>
</file>