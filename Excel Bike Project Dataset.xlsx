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8880" activeTab="3"/>
  </bookViews>
  <sheets>
    <sheet name="bike_buyers" sheetId="1" r:id="rId1"/>
    <sheet name="Working Sheet " sheetId="5" r:id="rId2"/>
    <sheet name="Pivot table" sheetId="3" r:id="rId3"/>
    <sheet name="Dashboard" sheetId="2" r:id="rId4"/>
  </sheets>
  <definedNames>
    <definedName name="_xlnm._FilterDatabase" localSheetId="1" hidden="1">'Working Sheet '!$A$1:$N$1027</definedName>
    <definedName name="_xlnm._FilterDatabase" localSheetId="0" hidden="1">bike_buyers!$A$1:$M$1001</definedName>
    <definedName name="Slicer_Marital_Status">#N/A</definedName>
    <definedName name="Slicer_Education">#N/A</definedName>
    <definedName name="Slicer_Reg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<sst xmlns="http://schemas.openxmlformats.org/spreadsheetml/2006/main" count="16475" uniqueCount="48">
  <si>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</si>
  <si>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</si>
  <si>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</si>
  <si>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</si>
  <si>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</si>
  <si>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</si>
  <si>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</si>
  <si>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</si>
  <si>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</si>
  <si>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</si>
  <si>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</si>
  <si>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</si>
  <si>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</si>
  <si>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</si>
  <si>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</si>
  <si>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</si>
  <si>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</si>
  <si>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</si>
  <si>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</si>
  <si>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</si>
  <si>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</si>
  <si>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</si>
  <si>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</si>
  <si>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</si>
  <si>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</si>
  <si>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</si>
  <si>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</si>
  <si>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</si>
  <si>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</si>
  <si>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</si>
  <si>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</si>
  <si>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</si>
  <si>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</si>
  <si>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</si>
  <si>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</si>
  <si>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</si>
  <si>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</si>
  <si>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</si>
  <si>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</si>
  <si>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</si>
  <si>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</si>
  <si>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Average of Income</t>
  </si>
  <si>
    <t>Grand Total</t>
  </si>
  <si>
    <t>Count of Purchased Bike</t>
  </si>
  <si>
    <t>Adolecent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</si>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</sst>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&quot;$&quot;#,##0.00"/>
  </numFmts>
  <fonts count="23">
    <font>
      <sz val="11"/>
      <color theme="1"/>
      <name val="Calibri"/>
      <charset val="134"/>
      <scheme val="minor"/>
    </font>
    <font>
      <sz val="48"/>
      <color theme="0"/>
      <name val="Arial Rounded MT Bold"/>
      <charset val="134"/>
    </font>
    <font>
      <sz val="36"/>
      <color theme="0"/>
      <name val="Arial Rounded MT Bold"/>
      <charset val="134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5" borderId="5" applyNumberFormat="0" applyAlignment="0" applyProtection="0"/>
    <xf numFmtId="0" fontId="14" fillId="6" borderId="6" applyNumberFormat="0" applyAlignment="0" applyProtection="0"/>
    <xf numFmtId="0" fontId="15" fillId="6" borderId="5" applyNumberFormat="0" applyAlignment="0" applyProtection="0"/>
    <xf numFmtId="0" fontId="16" fillId="7" borderId="7" applyNumberFormat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2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2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2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2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2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178" fontId="0" fillId="0" borderId="0" xfId="0" applyNumberFormat="1"/>
    <xf numFmtId="8" fontId="0" fillId="0" borderId="0" xfId="0" applyNumberFormat="1"/>
    <xf numFmtId="0" fontId="3" fillId="0" borderId="0" xfId="0" applyFont="1"/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0">
    <dxf>
      <numFmt numFmtId="180" formatCode="0.00000_ "/>
    </dxf>
    <dxf>
      <numFmt numFmtId="181" formatCode="0.000000_ "/>
    </dxf>
    <dxf>
      <numFmt numFmtId="182" formatCode="0.00000_ "/>
    </dxf>
    <dxf>
      <numFmt numFmtId="183" formatCode="0.0000_ "/>
    </dxf>
    <dxf>
      <numFmt numFmtId="184" formatCode="0.000_ "/>
    </dxf>
    <dxf>
      <numFmt numFmtId="185" formatCode="0.00_ "/>
    </dxf>
    <dxf>
      <numFmt numFmtId="186" formatCode="0.0_ "/>
    </dxf>
    <dxf>
      <numFmt numFmtId="187" formatCode="0_ "/>
    </dxf>
    <dxf>
      <numFmt numFmtId="188" formatCode="_ * #,##0.0_ ;_ * \-#,##0.0_ ;_ * &quot;-&quot;??_ ;_ @_ "/>
    </dxf>
    <dxf>
      <numFmt numFmtId="178" formatCode="_ * #,##0_ ;_ * \-#,##0_ ;_ * &quot;-&quot;??_ ;_ @_ "/>
    </dxf>
    <dxf>
      <numFmt numFmtId="189" formatCode="0.00000_ "/>
    </dxf>
    <dxf>
      <numFmt numFmtId="190" formatCode="0.000000_ "/>
    </dxf>
    <dxf>
      <numFmt numFmtId="191" formatCode="0.00000_ "/>
    </dxf>
    <dxf>
      <numFmt numFmtId="192" formatCode="0.0000_ "/>
    </dxf>
    <dxf>
      <numFmt numFmtId="193" formatCode="0.000_ "/>
    </dxf>
    <dxf>
      <numFmt numFmtId="194" formatCode="0.00_ "/>
    </dxf>
    <dxf>
      <numFmt numFmtId="195" formatCode="0.0_ "/>
    </dxf>
    <dxf>
      <numFmt numFmtId="196" formatCode="0_ "/>
    </dxf>
    <dxf>
      <numFmt numFmtId="197" formatCode="_ * #,##0.0_ ;_ * \-#,##0.0_ ;_ * &quot;-&quot;??_ ;_ @_ "/>
    </dxf>
    <dxf>
      <numFmt numFmtId="178" formatCode="_ * #,##0_ ;_ * \-#,##0_ ;_ * &quot;-&quot;??_ ;_ @_ "/>
    </dxf>
    <dxf>
      <numFmt numFmtId="198" formatCode="0.00000_ "/>
    </dxf>
    <dxf>
      <numFmt numFmtId="199" formatCode="0.000000_ "/>
    </dxf>
    <dxf>
      <numFmt numFmtId="200" formatCode="0.00000_ "/>
    </dxf>
    <dxf>
      <numFmt numFmtId="201" formatCode="0.0000_ "/>
    </dxf>
    <dxf>
      <numFmt numFmtId="202" formatCode="0.000_ "/>
    </dxf>
    <dxf>
      <numFmt numFmtId="203" formatCode="0.00_ "/>
    </dxf>
    <dxf>
      <numFmt numFmtId="204" formatCode="0.0_ "/>
    </dxf>
    <dxf>
      <numFmt numFmtId="205" formatCode="0_ "/>
    </dxf>
    <dxf>
      <numFmt numFmtId="206" formatCode="_ * #,##0.0_ ;_ * \-#,##0.0_ ;_ * &quot;-&quot;??_ ;_ @_ "/>
    </dxf>
    <dxf>
      <numFmt numFmtId="178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 * #,##0_ ;_ * \-#,##0_ ;_ * "-"??_ ;_ @_ </c:formatCode>
                <c:ptCount val="2"/>
                <c:pt idx="0">
                  <c:v>53449.6124031008</c:v>
                </c:pt>
                <c:pt idx="1">
                  <c:v>56520.1465201465</c:v>
                </c:pt>
              </c:numCache>
            </c:numRef>
          </c:val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 * #,##0_ ;_ * \-#,##0_ ;_ * "-"??_ ;_ @_ </c:formatCode>
                <c:ptCount val="2"/>
                <c:pt idx="0">
                  <c:v>55267.4897119342</c:v>
                </c:pt>
                <c:pt idx="1">
                  <c:v>59603.1746031746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78180199"/>
        <c:axId val="964915043"/>
      </c:barChart>
      <c:catAx>
        <c:axId val="77818019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4915043"/>
        <c:crosses val="autoZero"/>
        <c:auto val="1"/>
        <c:lblAlgn val="ctr"/>
        <c:lblOffset val="100"/>
        <c:noMultiLvlLbl val="0"/>
      </c:catAx>
      <c:valAx>
        <c:axId val="9649150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8180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table'!$B$9:$B$10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table'!$A$11:$A$16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table'!$B$11:$B$16</c:f>
              <c:numCache>
                <c:formatCode>_ * #,##0_ ;_ * \-#,##0_ ;_ * "-"??_ ;_ @_ </c:formatCode>
                <c:ptCount val="5"/>
                <c:pt idx="0">
                  <c:v>171</c:v>
                </c:pt>
                <c:pt idx="1">
                  <c:v>80</c:v>
                </c:pt>
                <c:pt idx="2">
                  <c:v>93</c:v>
                </c:pt>
                <c:pt idx="3">
                  <c:v>67</c:v>
                </c:pt>
                <c:pt idx="4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table'!$C$9:$C$10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table'!$A$11:$A$16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table'!$C$11:$C$16</c:f>
              <c:numCache>
                <c:formatCode>_ * #,##0_ ;_ * \-#,##0_ ;_ * "-"??_ ;_ @_ </c:formatCode>
                <c:ptCount val="5"/>
                <c:pt idx="0">
                  <c:v>207</c:v>
                </c:pt>
                <c:pt idx="1">
                  <c:v>33</c:v>
                </c:pt>
                <c:pt idx="2">
                  <c:v>83</c:v>
                </c:pt>
                <c:pt idx="3">
                  <c:v>95</c:v>
                </c:pt>
                <c:pt idx="4">
                  <c:v>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5875729"/>
        <c:axId val="912729464"/>
      </c:lineChart>
      <c:catAx>
        <c:axId val="10587572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>
            <c:manualLayout>
              <c:xMode val="edge"/>
              <c:yMode val="edge"/>
              <c:x val="0.357276315789474"/>
              <c:y val="0.792824075067485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2729464"/>
        <c:crosses val="autoZero"/>
        <c:auto val="1"/>
        <c:lblAlgn val="ctr"/>
        <c:lblOffset val="100"/>
        <c:noMultiLvlLbl val="0"/>
      </c:catAx>
      <c:valAx>
        <c:axId val="912729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8757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table'!$B$26:$B$27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table'!$A$28:$A$31</c:f>
              <c:strCache>
                <c:ptCount val="3"/>
                <c:pt idx="0">
                  <c:v>Adolecent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table'!$B$28:$B$31</c:f>
              <c:numCache>
                <c:formatCode>_ * #,##0_ ;_ * \-#,##0_ ;_ * "-"??_ ;_ @_ </c:formatCode>
                <c:ptCount val="3"/>
                <c:pt idx="0">
                  <c:v>65</c:v>
                </c:pt>
                <c:pt idx="1">
                  <c:v>376</c:v>
                </c:pt>
                <c:pt idx="2">
                  <c:v>90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table'!$C$26:$C$27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table'!$A$28:$A$31</c:f>
              <c:strCache>
                <c:ptCount val="3"/>
                <c:pt idx="0">
                  <c:v>Adolecent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table'!$C$28:$C$31</c:f>
              <c:numCache>
                <c:formatCode>_ * #,##0_ ;_ * \-#,##0_ ;_ * "-"??_ ;_ @_ </c:formatCode>
                <c:ptCount val="3"/>
                <c:pt idx="0">
                  <c:v>50</c:v>
                </c:pt>
                <c:pt idx="1">
                  <c:v>361</c:v>
                </c:pt>
                <c:pt idx="2">
                  <c:v>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5897862"/>
        <c:axId val="337306436"/>
      </c:lineChart>
      <c:catAx>
        <c:axId val="50589786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7306436"/>
        <c:crosses val="autoZero"/>
        <c:auto val="1"/>
        <c:lblAlgn val="ctr"/>
        <c:lblOffset val="100"/>
        <c:noMultiLvlLbl val="0"/>
      </c:catAx>
      <c:valAx>
        <c:axId val="3373064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58978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 * #,##0_ ;_ * \-#,##0_ ;_ * "-"??_ ;_ @_ </c:formatCode>
                <c:ptCount val="2"/>
                <c:pt idx="0">
                  <c:v>53449.6124031008</c:v>
                </c:pt>
                <c:pt idx="1">
                  <c:v>56520.1465201465</c:v>
                </c:pt>
              </c:numCache>
            </c:numRef>
          </c:val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 * #,##0_ ;_ * \-#,##0_ ;_ * "-"??_ ;_ @_ </c:formatCode>
                <c:ptCount val="2"/>
                <c:pt idx="0">
                  <c:v>55267.4897119342</c:v>
                </c:pt>
                <c:pt idx="1">
                  <c:v>59603.1746031746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78180199"/>
        <c:axId val="964915043"/>
      </c:barChart>
      <c:catAx>
        <c:axId val="77818019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4915043"/>
        <c:crosses val="autoZero"/>
        <c:auto val="1"/>
        <c:lblAlgn val="ctr"/>
        <c:lblOffset val="100"/>
        <c:noMultiLvlLbl val="0"/>
      </c:catAx>
      <c:valAx>
        <c:axId val="9649150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8180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5e46fb-045a-4cdb-a49a-906796f450f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table'!$B$9:$B$10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table'!$A$11:$A$16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table'!$B$11:$B$16</c:f>
              <c:numCache>
                <c:formatCode>_ * #,##0_ ;_ * \-#,##0_ ;_ * "-"??_ ;_ @_ </c:formatCode>
                <c:ptCount val="5"/>
                <c:pt idx="0">
                  <c:v>171</c:v>
                </c:pt>
                <c:pt idx="1">
                  <c:v>80</c:v>
                </c:pt>
                <c:pt idx="2">
                  <c:v>93</c:v>
                </c:pt>
                <c:pt idx="3">
                  <c:v>67</c:v>
                </c:pt>
                <c:pt idx="4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table'!$C$9:$C$10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table'!$A$11:$A$16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table'!$C$11:$C$16</c:f>
              <c:numCache>
                <c:formatCode>_ * #,##0_ ;_ * \-#,##0_ ;_ * "-"??_ ;_ @_ </c:formatCode>
                <c:ptCount val="5"/>
                <c:pt idx="0">
                  <c:v>207</c:v>
                </c:pt>
                <c:pt idx="1">
                  <c:v>33</c:v>
                </c:pt>
                <c:pt idx="2">
                  <c:v>83</c:v>
                </c:pt>
                <c:pt idx="3">
                  <c:v>95</c:v>
                </c:pt>
                <c:pt idx="4">
                  <c:v>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5875729"/>
        <c:axId val="912729464"/>
      </c:lineChart>
      <c:catAx>
        <c:axId val="10587572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>
            <c:manualLayout>
              <c:xMode val="edge"/>
              <c:yMode val="edge"/>
              <c:x val="0.357276315789474"/>
              <c:y val="0.792824075067485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2729464"/>
        <c:crosses val="autoZero"/>
        <c:auto val="1"/>
        <c:lblAlgn val="ctr"/>
        <c:lblOffset val="100"/>
        <c:noMultiLvlLbl val="0"/>
      </c:catAx>
      <c:valAx>
        <c:axId val="912729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8757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8f91a00-2ea2-4c6f-b510-a643b718e3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table'!$B$26:$B$27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table'!$A$28:$A$31</c:f>
              <c:strCache>
                <c:ptCount val="3"/>
                <c:pt idx="0">
                  <c:v>Adolecent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table'!$B$28:$B$31</c:f>
              <c:numCache>
                <c:formatCode>_ * #,##0_ ;_ * \-#,##0_ ;_ * "-"??_ ;_ @_ </c:formatCode>
                <c:ptCount val="3"/>
                <c:pt idx="0">
                  <c:v>65</c:v>
                </c:pt>
                <c:pt idx="1">
                  <c:v>376</c:v>
                </c:pt>
                <c:pt idx="2">
                  <c:v>90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table'!$C$26:$C$27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table'!$A$28:$A$31</c:f>
              <c:strCache>
                <c:ptCount val="3"/>
                <c:pt idx="0">
                  <c:v>Adolecent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table'!$C$28:$C$31</c:f>
              <c:numCache>
                <c:formatCode>_ * #,##0_ ;_ * \-#,##0_ ;_ * "-"??_ ;_ @_ </c:formatCode>
                <c:ptCount val="3"/>
                <c:pt idx="0">
                  <c:v>50</c:v>
                </c:pt>
                <c:pt idx="1">
                  <c:v>361</c:v>
                </c:pt>
                <c:pt idx="2">
                  <c:v>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5897862"/>
        <c:axId val="337306436"/>
      </c:lineChart>
      <c:catAx>
        <c:axId val="50589786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7306436"/>
        <c:crosses val="autoZero"/>
        <c:auto val="1"/>
        <c:lblAlgn val="ctr"/>
        <c:lblOffset val="100"/>
        <c:noMultiLvlLbl val="0"/>
      </c:catAx>
      <c:valAx>
        <c:axId val="3373064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58978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abd6a2-085c-479d-8c68-54eadfdd999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587375</xdr:colOff>
      <xdr:row>0</xdr:row>
      <xdr:rowOff>101600</xdr:rowOff>
    </xdr:from>
    <xdr:to>
      <xdr:col>13</xdr:col>
      <xdr:colOff>3175</xdr:colOff>
      <xdr:row>14</xdr:row>
      <xdr:rowOff>177800</xdr:rowOff>
    </xdr:to>
    <xdr:graphicFrame>
      <xdr:nvGraphicFramePr>
        <xdr:cNvPr id="2" name="Chart 1"/>
        <xdr:cNvGraphicFramePr/>
      </xdr:nvGraphicFramePr>
      <xdr:xfrm>
        <a:off x="5359400" y="101600"/>
        <a:ext cx="4902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606425</xdr:colOff>
      <xdr:row>6</xdr:row>
      <xdr:rowOff>63500</xdr:rowOff>
    </xdr:from>
    <xdr:to>
      <xdr:col>9</xdr:col>
      <xdr:colOff>422275</xdr:colOff>
      <xdr:row>20</xdr:row>
      <xdr:rowOff>139700</xdr:rowOff>
    </xdr:to>
    <xdr:graphicFrame>
      <xdr:nvGraphicFramePr>
        <xdr:cNvPr id="3" name="Chart 2"/>
        <xdr:cNvGraphicFramePr/>
      </xdr:nvGraphicFramePr>
      <xdr:xfrm>
        <a:off x="3416300" y="1206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606425</xdr:colOff>
      <xdr:row>18</xdr:row>
      <xdr:rowOff>63500</xdr:rowOff>
    </xdr:from>
    <xdr:to>
      <xdr:col>9</xdr:col>
      <xdr:colOff>422275</xdr:colOff>
      <xdr:row>32</xdr:row>
      <xdr:rowOff>139700</xdr:rowOff>
    </xdr:to>
    <xdr:graphicFrame>
      <xdr:nvGraphicFramePr>
        <xdr:cNvPr id="4" name="Chart 3"/>
        <xdr:cNvGraphicFramePr/>
      </xdr:nvGraphicFramePr>
      <xdr:xfrm>
        <a:off x="3416300" y="3492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591185</xdr:colOff>
      <xdr:row>4</xdr:row>
      <xdr:rowOff>0</xdr:rowOff>
    </xdr:from>
    <xdr:to>
      <xdr:col>9</xdr:col>
      <xdr:colOff>7620</xdr:colOff>
      <xdr:row>17</xdr:row>
      <xdr:rowOff>47625</xdr:rowOff>
    </xdr:to>
    <xdr:graphicFrame>
      <xdr:nvGraphicFramePr>
        <xdr:cNvPr id="2" name="Chart 1"/>
        <xdr:cNvGraphicFramePr/>
      </xdr:nvGraphicFramePr>
      <xdr:xfrm>
        <a:off x="1810385" y="762000"/>
        <a:ext cx="3683635" cy="2524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581660</xdr:colOff>
      <xdr:row>17</xdr:row>
      <xdr:rowOff>104775</xdr:rowOff>
    </xdr:from>
    <xdr:to>
      <xdr:col>15</xdr:col>
      <xdr:colOff>15875</xdr:colOff>
      <xdr:row>31</xdr:row>
      <xdr:rowOff>85090</xdr:rowOff>
    </xdr:to>
    <xdr:graphicFrame>
      <xdr:nvGraphicFramePr>
        <xdr:cNvPr id="3" name="Chart 2"/>
        <xdr:cNvGraphicFramePr/>
      </xdr:nvGraphicFramePr>
      <xdr:xfrm>
        <a:off x="1800860" y="3343275"/>
        <a:ext cx="7359015" cy="2647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29210</xdr:colOff>
      <xdr:row>4</xdr:row>
      <xdr:rowOff>9525</xdr:rowOff>
    </xdr:from>
    <xdr:to>
      <xdr:col>15</xdr:col>
      <xdr:colOff>15875</xdr:colOff>
      <xdr:row>17</xdr:row>
      <xdr:rowOff>38735</xdr:rowOff>
    </xdr:to>
    <xdr:graphicFrame>
      <xdr:nvGraphicFramePr>
        <xdr:cNvPr id="4" name="Chart 3"/>
        <xdr:cNvGraphicFramePr/>
      </xdr:nvGraphicFramePr>
      <xdr:xfrm>
        <a:off x="5515610" y="771525"/>
        <a:ext cx="3644265" cy="2505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9525</xdr:colOff>
      <xdr:row>3</xdr:row>
      <xdr:rowOff>187325</xdr:rowOff>
    </xdr:from>
    <xdr:to>
      <xdr:col>2</xdr:col>
      <xdr:colOff>581660</xdr:colOff>
      <xdr:row>9</xdr:row>
      <xdr:rowOff>38735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758825"/>
              <a:ext cx="1791335" cy="994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15</xdr:row>
      <xdr:rowOff>111125</xdr:rowOff>
    </xdr:from>
    <xdr:to>
      <xdr:col>3</xdr:col>
      <xdr:colOff>3175</xdr:colOff>
      <xdr:row>24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968625"/>
              <a:ext cx="1822450" cy="172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9</xdr:row>
      <xdr:rowOff>38100</xdr:rowOff>
    </xdr:from>
    <xdr:to>
      <xdr:col>2</xdr:col>
      <xdr:colOff>610235</xdr:colOff>
      <xdr:row>15</xdr:row>
      <xdr:rowOff>127000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752600"/>
              <a:ext cx="1819910" cy="1231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9.7915740741" refreshedBy="user" recordCount="1026">
  <cacheSource type="worksheet">
    <worksheetSource ref="A1:N1027" sheet="Working Sheet 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8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26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0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1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0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0"/>
    <x v="0"/>
  </r>
  <r>
    <x v="13"/>
    <x v="0"/>
    <x v="1"/>
    <x v="0"/>
    <x v="4"/>
    <x v="1"/>
    <x v="1"/>
    <x v="0"/>
    <x v="1"/>
    <x v="3"/>
    <x v="0"/>
    <x v="11"/>
    <x v="1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0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0"/>
    <x v="1"/>
  </r>
  <r>
    <x v="20"/>
    <x v="0"/>
    <x v="0"/>
    <x v="0"/>
    <x v="3"/>
    <x v="4"/>
    <x v="1"/>
    <x v="0"/>
    <x v="0"/>
    <x v="0"/>
    <x v="0"/>
    <x v="4"/>
    <x v="1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1"/>
    <x v="1"/>
  </r>
  <r>
    <x v="23"/>
    <x v="0"/>
    <x v="0"/>
    <x v="2"/>
    <x v="2"/>
    <x v="2"/>
    <x v="4"/>
    <x v="1"/>
    <x v="4"/>
    <x v="2"/>
    <x v="0"/>
    <x v="16"/>
    <x v="2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0"/>
    <x v="0"/>
  </r>
  <r>
    <x v="26"/>
    <x v="1"/>
    <x v="1"/>
    <x v="1"/>
    <x v="3"/>
    <x v="1"/>
    <x v="1"/>
    <x v="1"/>
    <x v="1"/>
    <x v="0"/>
    <x v="0"/>
    <x v="19"/>
    <x v="0"/>
    <x v="1"/>
  </r>
  <r>
    <x v="27"/>
    <x v="1"/>
    <x v="0"/>
    <x v="11"/>
    <x v="3"/>
    <x v="0"/>
    <x v="2"/>
    <x v="1"/>
    <x v="1"/>
    <x v="2"/>
    <x v="1"/>
    <x v="8"/>
    <x v="1"/>
    <x v="0"/>
  </r>
  <r>
    <x v="28"/>
    <x v="0"/>
    <x v="1"/>
    <x v="3"/>
    <x v="2"/>
    <x v="1"/>
    <x v="0"/>
    <x v="0"/>
    <x v="2"/>
    <x v="2"/>
    <x v="1"/>
    <x v="20"/>
    <x v="2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0"/>
    <x v="0"/>
  </r>
  <r>
    <x v="31"/>
    <x v="0"/>
    <x v="1"/>
    <x v="4"/>
    <x v="3"/>
    <x v="1"/>
    <x v="3"/>
    <x v="1"/>
    <x v="1"/>
    <x v="0"/>
    <x v="1"/>
    <x v="22"/>
    <x v="1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2"/>
    <x v="1"/>
  </r>
  <r>
    <x v="35"/>
    <x v="1"/>
    <x v="0"/>
    <x v="4"/>
    <x v="2"/>
    <x v="3"/>
    <x v="3"/>
    <x v="1"/>
    <x v="2"/>
    <x v="0"/>
    <x v="0"/>
    <x v="3"/>
    <x v="2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0"/>
    <x v="0"/>
  </r>
  <r>
    <x v="38"/>
    <x v="1"/>
    <x v="1"/>
    <x v="6"/>
    <x v="3"/>
    <x v="2"/>
    <x v="3"/>
    <x v="1"/>
    <x v="1"/>
    <x v="1"/>
    <x v="0"/>
    <x v="26"/>
    <x v="1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0"/>
    <x v="1"/>
  </r>
  <r>
    <x v="42"/>
    <x v="0"/>
    <x v="0"/>
    <x v="4"/>
    <x v="0"/>
    <x v="4"/>
    <x v="3"/>
    <x v="0"/>
    <x v="0"/>
    <x v="0"/>
    <x v="0"/>
    <x v="8"/>
    <x v="1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0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2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1"/>
    <x v="1"/>
  </r>
  <r>
    <x v="50"/>
    <x v="1"/>
    <x v="0"/>
    <x v="1"/>
    <x v="3"/>
    <x v="1"/>
    <x v="1"/>
    <x v="1"/>
    <x v="1"/>
    <x v="0"/>
    <x v="0"/>
    <x v="26"/>
    <x v="1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0"/>
    <x v="0"/>
  </r>
  <r>
    <x v="53"/>
    <x v="1"/>
    <x v="0"/>
    <x v="8"/>
    <x v="5"/>
    <x v="2"/>
    <x v="4"/>
    <x v="1"/>
    <x v="4"/>
    <x v="2"/>
    <x v="0"/>
    <x v="16"/>
    <x v="0"/>
    <x v="0"/>
  </r>
  <r>
    <x v="54"/>
    <x v="1"/>
    <x v="0"/>
    <x v="3"/>
    <x v="3"/>
    <x v="0"/>
    <x v="2"/>
    <x v="1"/>
    <x v="1"/>
    <x v="2"/>
    <x v="1"/>
    <x v="0"/>
    <x v="1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0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1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0"/>
    <x v="0"/>
  </r>
  <r>
    <x v="66"/>
    <x v="0"/>
    <x v="0"/>
    <x v="0"/>
    <x v="3"/>
    <x v="4"/>
    <x v="1"/>
    <x v="0"/>
    <x v="0"/>
    <x v="0"/>
    <x v="0"/>
    <x v="34"/>
    <x v="2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0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1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2"/>
    <x v="1"/>
  </r>
  <r>
    <x v="74"/>
    <x v="0"/>
    <x v="0"/>
    <x v="6"/>
    <x v="1"/>
    <x v="2"/>
    <x v="0"/>
    <x v="1"/>
    <x v="2"/>
    <x v="3"/>
    <x v="1"/>
    <x v="24"/>
    <x v="2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1"/>
    <x v="0"/>
  </r>
  <r>
    <x v="77"/>
    <x v="0"/>
    <x v="1"/>
    <x v="2"/>
    <x v="3"/>
    <x v="0"/>
    <x v="2"/>
    <x v="0"/>
    <x v="2"/>
    <x v="4"/>
    <x v="1"/>
    <x v="19"/>
    <x v="0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0"/>
    <x v="1"/>
  </r>
  <r>
    <x v="80"/>
    <x v="0"/>
    <x v="0"/>
    <x v="1"/>
    <x v="5"/>
    <x v="4"/>
    <x v="1"/>
    <x v="0"/>
    <x v="0"/>
    <x v="0"/>
    <x v="0"/>
    <x v="12"/>
    <x v="2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2"/>
    <x v="1"/>
  </r>
  <r>
    <x v="83"/>
    <x v="1"/>
    <x v="1"/>
    <x v="6"/>
    <x v="3"/>
    <x v="2"/>
    <x v="3"/>
    <x v="1"/>
    <x v="1"/>
    <x v="1"/>
    <x v="0"/>
    <x v="19"/>
    <x v="0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2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0"/>
    <x v="1"/>
  </r>
  <r>
    <x v="91"/>
    <x v="1"/>
    <x v="1"/>
    <x v="1"/>
    <x v="3"/>
    <x v="1"/>
    <x v="1"/>
    <x v="1"/>
    <x v="1"/>
    <x v="0"/>
    <x v="0"/>
    <x v="25"/>
    <x v="0"/>
    <x v="1"/>
  </r>
  <r>
    <x v="92"/>
    <x v="1"/>
    <x v="0"/>
    <x v="10"/>
    <x v="4"/>
    <x v="0"/>
    <x v="2"/>
    <x v="0"/>
    <x v="1"/>
    <x v="1"/>
    <x v="1"/>
    <x v="34"/>
    <x v="1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0"/>
    <x v="0"/>
  </r>
  <r>
    <x v="95"/>
    <x v="1"/>
    <x v="0"/>
    <x v="8"/>
    <x v="2"/>
    <x v="1"/>
    <x v="2"/>
    <x v="0"/>
    <x v="2"/>
    <x v="4"/>
    <x v="0"/>
    <x v="24"/>
    <x v="2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0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2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0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2"/>
    <x v="0"/>
  </r>
  <r>
    <x v="112"/>
    <x v="1"/>
    <x v="0"/>
    <x v="0"/>
    <x v="4"/>
    <x v="1"/>
    <x v="1"/>
    <x v="0"/>
    <x v="2"/>
    <x v="3"/>
    <x v="0"/>
    <x v="11"/>
    <x v="2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0"/>
    <x v="1"/>
  </r>
  <r>
    <x v="115"/>
    <x v="1"/>
    <x v="1"/>
    <x v="4"/>
    <x v="3"/>
    <x v="4"/>
    <x v="3"/>
    <x v="1"/>
    <x v="0"/>
    <x v="0"/>
    <x v="0"/>
    <x v="25"/>
    <x v="1"/>
    <x v="1"/>
  </r>
  <r>
    <x v="116"/>
    <x v="0"/>
    <x v="0"/>
    <x v="1"/>
    <x v="0"/>
    <x v="0"/>
    <x v="0"/>
    <x v="0"/>
    <x v="2"/>
    <x v="0"/>
    <x v="0"/>
    <x v="0"/>
    <x v="2"/>
    <x v="0"/>
  </r>
  <r>
    <x v="117"/>
    <x v="1"/>
    <x v="0"/>
    <x v="6"/>
    <x v="3"/>
    <x v="2"/>
    <x v="3"/>
    <x v="0"/>
    <x v="0"/>
    <x v="0"/>
    <x v="0"/>
    <x v="8"/>
    <x v="1"/>
    <x v="1"/>
  </r>
  <r>
    <x v="118"/>
    <x v="0"/>
    <x v="1"/>
    <x v="2"/>
    <x v="2"/>
    <x v="0"/>
    <x v="4"/>
    <x v="0"/>
    <x v="2"/>
    <x v="1"/>
    <x v="0"/>
    <x v="24"/>
    <x v="0"/>
    <x v="0"/>
  </r>
  <r>
    <x v="119"/>
    <x v="1"/>
    <x v="0"/>
    <x v="1"/>
    <x v="3"/>
    <x v="1"/>
    <x v="1"/>
    <x v="1"/>
    <x v="1"/>
    <x v="1"/>
    <x v="0"/>
    <x v="19"/>
    <x v="0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0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1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1"/>
    <x v="0"/>
  </r>
  <r>
    <x v="131"/>
    <x v="0"/>
    <x v="1"/>
    <x v="8"/>
    <x v="5"/>
    <x v="2"/>
    <x v="4"/>
    <x v="0"/>
    <x v="4"/>
    <x v="2"/>
    <x v="0"/>
    <x v="16"/>
    <x v="0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0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1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2"/>
    <x v="1"/>
  </r>
  <r>
    <x v="139"/>
    <x v="1"/>
    <x v="0"/>
    <x v="1"/>
    <x v="4"/>
    <x v="1"/>
    <x v="1"/>
    <x v="1"/>
    <x v="2"/>
    <x v="2"/>
    <x v="1"/>
    <x v="2"/>
    <x v="0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0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1"/>
    <x v="0"/>
  </r>
  <r>
    <x v="146"/>
    <x v="0"/>
    <x v="1"/>
    <x v="0"/>
    <x v="3"/>
    <x v="4"/>
    <x v="1"/>
    <x v="0"/>
    <x v="0"/>
    <x v="0"/>
    <x v="0"/>
    <x v="34"/>
    <x v="2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0"/>
    <x v="0"/>
  </r>
  <r>
    <x v="149"/>
    <x v="1"/>
    <x v="1"/>
    <x v="1"/>
    <x v="3"/>
    <x v="1"/>
    <x v="1"/>
    <x v="1"/>
    <x v="1"/>
    <x v="3"/>
    <x v="0"/>
    <x v="40"/>
    <x v="0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1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0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2"/>
    <x v="1"/>
  </r>
  <r>
    <x v="162"/>
    <x v="1"/>
    <x v="0"/>
    <x v="10"/>
    <x v="4"/>
    <x v="0"/>
    <x v="2"/>
    <x v="1"/>
    <x v="1"/>
    <x v="0"/>
    <x v="1"/>
    <x v="13"/>
    <x v="2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0"/>
    <x v="1"/>
  </r>
  <r>
    <x v="165"/>
    <x v="0"/>
    <x v="0"/>
    <x v="4"/>
    <x v="3"/>
    <x v="1"/>
    <x v="3"/>
    <x v="1"/>
    <x v="1"/>
    <x v="0"/>
    <x v="1"/>
    <x v="37"/>
    <x v="0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1"/>
    <x v="0"/>
  </r>
  <r>
    <x v="168"/>
    <x v="1"/>
    <x v="1"/>
    <x v="3"/>
    <x v="3"/>
    <x v="0"/>
    <x v="2"/>
    <x v="1"/>
    <x v="1"/>
    <x v="2"/>
    <x v="1"/>
    <x v="3"/>
    <x v="1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2"/>
    <x v="1"/>
  </r>
  <r>
    <x v="171"/>
    <x v="0"/>
    <x v="0"/>
    <x v="2"/>
    <x v="2"/>
    <x v="0"/>
    <x v="4"/>
    <x v="0"/>
    <x v="2"/>
    <x v="1"/>
    <x v="0"/>
    <x v="33"/>
    <x v="0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0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0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1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0"/>
    <x v="1"/>
  </r>
  <r>
    <x v="187"/>
    <x v="1"/>
    <x v="1"/>
    <x v="2"/>
    <x v="2"/>
    <x v="1"/>
    <x v="2"/>
    <x v="1"/>
    <x v="2"/>
    <x v="4"/>
    <x v="0"/>
    <x v="14"/>
    <x v="0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1"/>
    <x v="1"/>
  </r>
  <r>
    <x v="190"/>
    <x v="0"/>
    <x v="1"/>
    <x v="1"/>
    <x v="1"/>
    <x v="2"/>
    <x v="0"/>
    <x v="0"/>
    <x v="2"/>
    <x v="2"/>
    <x v="1"/>
    <x v="10"/>
    <x v="0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2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1"/>
    <x v="0"/>
  </r>
  <r>
    <x v="195"/>
    <x v="1"/>
    <x v="1"/>
    <x v="6"/>
    <x v="3"/>
    <x v="0"/>
    <x v="1"/>
    <x v="0"/>
    <x v="0"/>
    <x v="0"/>
    <x v="1"/>
    <x v="37"/>
    <x v="0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0"/>
    <x v="1"/>
  </r>
  <r>
    <x v="198"/>
    <x v="1"/>
    <x v="0"/>
    <x v="11"/>
    <x v="3"/>
    <x v="4"/>
    <x v="4"/>
    <x v="1"/>
    <x v="1"/>
    <x v="3"/>
    <x v="1"/>
    <x v="32"/>
    <x v="2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0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1"/>
    <x v="1"/>
  </r>
  <r>
    <x v="204"/>
    <x v="1"/>
    <x v="0"/>
    <x v="8"/>
    <x v="1"/>
    <x v="2"/>
    <x v="2"/>
    <x v="1"/>
    <x v="1"/>
    <x v="1"/>
    <x v="0"/>
    <x v="36"/>
    <x v="2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0"/>
    <x v="0"/>
  </r>
  <r>
    <x v="207"/>
    <x v="1"/>
    <x v="0"/>
    <x v="6"/>
    <x v="3"/>
    <x v="3"/>
    <x v="3"/>
    <x v="0"/>
    <x v="2"/>
    <x v="3"/>
    <x v="0"/>
    <x v="22"/>
    <x v="0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2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1"/>
    <x v="1"/>
  </r>
  <r>
    <x v="212"/>
    <x v="1"/>
    <x v="0"/>
    <x v="1"/>
    <x v="3"/>
    <x v="1"/>
    <x v="1"/>
    <x v="1"/>
    <x v="1"/>
    <x v="1"/>
    <x v="0"/>
    <x v="25"/>
    <x v="0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2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2"/>
    <x v="0"/>
  </r>
  <r>
    <x v="217"/>
    <x v="1"/>
    <x v="0"/>
    <x v="6"/>
    <x v="3"/>
    <x v="3"/>
    <x v="3"/>
    <x v="1"/>
    <x v="2"/>
    <x v="0"/>
    <x v="0"/>
    <x v="37"/>
    <x v="0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0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1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0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1"/>
    <x v="1"/>
  </r>
  <r>
    <x v="227"/>
    <x v="0"/>
    <x v="1"/>
    <x v="4"/>
    <x v="1"/>
    <x v="3"/>
    <x v="3"/>
    <x v="0"/>
    <x v="2"/>
    <x v="0"/>
    <x v="0"/>
    <x v="1"/>
    <x v="1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0"/>
    <x v="0"/>
  </r>
  <r>
    <x v="230"/>
    <x v="0"/>
    <x v="1"/>
    <x v="7"/>
    <x v="5"/>
    <x v="1"/>
    <x v="4"/>
    <x v="0"/>
    <x v="4"/>
    <x v="4"/>
    <x v="0"/>
    <x v="16"/>
    <x v="2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1"/>
    <x v="0"/>
  </r>
  <r>
    <x v="233"/>
    <x v="0"/>
    <x v="1"/>
    <x v="6"/>
    <x v="3"/>
    <x v="0"/>
    <x v="1"/>
    <x v="0"/>
    <x v="0"/>
    <x v="0"/>
    <x v="1"/>
    <x v="40"/>
    <x v="0"/>
    <x v="1"/>
  </r>
  <r>
    <x v="234"/>
    <x v="1"/>
    <x v="1"/>
    <x v="8"/>
    <x v="3"/>
    <x v="0"/>
    <x v="2"/>
    <x v="1"/>
    <x v="3"/>
    <x v="4"/>
    <x v="1"/>
    <x v="11"/>
    <x v="2"/>
    <x v="1"/>
  </r>
  <r>
    <x v="235"/>
    <x v="0"/>
    <x v="0"/>
    <x v="4"/>
    <x v="0"/>
    <x v="4"/>
    <x v="1"/>
    <x v="0"/>
    <x v="0"/>
    <x v="0"/>
    <x v="0"/>
    <x v="43"/>
    <x v="0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0"/>
    <x v="1"/>
  </r>
  <r>
    <x v="238"/>
    <x v="0"/>
    <x v="1"/>
    <x v="3"/>
    <x v="2"/>
    <x v="1"/>
    <x v="0"/>
    <x v="0"/>
    <x v="4"/>
    <x v="2"/>
    <x v="1"/>
    <x v="30"/>
    <x v="2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2"/>
    <x v="0"/>
  </r>
  <r>
    <x v="241"/>
    <x v="1"/>
    <x v="0"/>
    <x v="1"/>
    <x v="1"/>
    <x v="1"/>
    <x v="1"/>
    <x v="0"/>
    <x v="2"/>
    <x v="0"/>
    <x v="0"/>
    <x v="40"/>
    <x v="0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0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1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1"/>
    <x v="1"/>
  </r>
  <r>
    <x v="248"/>
    <x v="0"/>
    <x v="0"/>
    <x v="4"/>
    <x v="2"/>
    <x v="2"/>
    <x v="0"/>
    <x v="1"/>
    <x v="4"/>
    <x v="3"/>
    <x v="1"/>
    <x v="24"/>
    <x v="0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0"/>
    <x v="1"/>
  </r>
  <r>
    <x v="254"/>
    <x v="1"/>
    <x v="1"/>
    <x v="6"/>
    <x v="4"/>
    <x v="3"/>
    <x v="1"/>
    <x v="0"/>
    <x v="2"/>
    <x v="2"/>
    <x v="1"/>
    <x v="42"/>
    <x v="0"/>
    <x v="0"/>
  </r>
  <r>
    <x v="255"/>
    <x v="1"/>
    <x v="0"/>
    <x v="1"/>
    <x v="1"/>
    <x v="4"/>
    <x v="1"/>
    <x v="0"/>
    <x v="0"/>
    <x v="0"/>
    <x v="0"/>
    <x v="15"/>
    <x v="1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0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2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0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2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2"/>
    <x v="1"/>
  </r>
  <r>
    <x v="271"/>
    <x v="1"/>
    <x v="0"/>
    <x v="6"/>
    <x v="3"/>
    <x v="2"/>
    <x v="3"/>
    <x v="1"/>
    <x v="1"/>
    <x v="3"/>
    <x v="0"/>
    <x v="26"/>
    <x v="0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0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1"/>
    <x v="1"/>
  </r>
  <r>
    <x v="297"/>
    <x v="0"/>
    <x v="1"/>
    <x v="11"/>
    <x v="0"/>
    <x v="4"/>
    <x v="4"/>
    <x v="0"/>
    <x v="0"/>
    <x v="1"/>
    <x v="1"/>
    <x v="4"/>
    <x v="1"/>
    <x v="1"/>
  </r>
  <r>
    <x v="298"/>
    <x v="0"/>
    <x v="0"/>
    <x v="8"/>
    <x v="5"/>
    <x v="2"/>
    <x v="2"/>
    <x v="1"/>
    <x v="2"/>
    <x v="1"/>
    <x v="0"/>
    <x v="9"/>
    <x v="2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0"/>
    <x v="0"/>
  </r>
  <r>
    <x v="301"/>
    <x v="1"/>
    <x v="0"/>
    <x v="0"/>
    <x v="3"/>
    <x v="0"/>
    <x v="1"/>
    <x v="1"/>
    <x v="0"/>
    <x v="0"/>
    <x v="1"/>
    <x v="26"/>
    <x v="0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1"/>
    <x v="1"/>
  </r>
  <r>
    <x v="305"/>
    <x v="1"/>
    <x v="1"/>
    <x v="4"/>
    <x v="4"/>
    <x v="3"/>
    <x v="1"/>
    <x v="0"/>
    <x v="2"/>
    <x v="2"/>
    <x v="1"/>
    <x v="7"/>
    <x v="0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0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1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0"/>
    <x v="1"/>
  </r>
  <r>
    <x v="313"/>
    <x v="1"/>
    <x v="1"/>
    <x v="0"/>
    <x v="1"/>
    <x v="3"/>
    <x v="1"/>
    <x v="1"/>
    <x v="2"/>
    <x v="2"/>
    <x v="1"/>
    <x v="31"/>
    <x v="1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0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2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1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2"/>
    <x v="0"/>
  </r>
  <r>
    <x v="329"/>
    <x v="0"/>
    <x v="0"/>
    <x v="8"/>
    <x v="2"/>
    <x v="3"/>
    <x v="0"/>
    <x v="0"/>
    <x v="2"/>
    <x v="4"/>
    <x v="0"/>
    <x v="14"/>
    <x v="0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0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1"/>
    <x v="0"/>
  </r>
  <r>
    <x v="337"/>
    <x v="0"/>
    <x v="1"/>
    <x v="4"/>
    <x v="3"/>
    <x v="3"/>
    <x v="3"/>
    <x v="0"/>
    <x v="2"/>
    <x v="0"/>
    <x v="0"/>
    <x v="21"/>
    <x v="2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0"/>
    <x v="0"/>
  </r>
  <r>
    <x v="340"/>
    <x v="1"/>
    <x v="1"/>
    <x v="1"/>
    <x v="3"/>
    <x v="1"/>
    <x v="1"/>
    <x v="0"/>
    <x v="1"/>
    <x v="1"/>
    <x v="0"/>
    <x v="25"/>
    <x v="0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2"/>
    <x v="1"/>
  </r>
  <r>
    <x v="347"/>
    <x v="1"/>
    <x v="0"/>
    <x v="10"/>
    <x v="0"/>
    <x v="1"/>
    <x v="0"/>
    <x v="1"/>
    <x v="1"/>
    <x v="0"/>
    <x v="1"/>
    <x v="12"/>
    <x v="2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0"/>
    <x v="1"/>
  </r>
  <r>
    <x v="350"/>
    <x v="1"/>
    <x v="1"/>
    <x v="6"/>
    <x v="3"/>
    <x v="1"/>
    <x v="3"/>
    <x v="1"/>
    <x v="0"/>
    <x v="0"/>
    <x v="1"/>
    <x v="26"/>
    <x v="0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1"/>
    <x v="0"/>
  </r>
  <r>
    <x v="356"/>
    <x v="0"/>
    <x v="0"/>
    <x v="13"/>
    <x v="1"/>
    <x v="2"/>
    <x v="2"/>
    <x v="0"/>
    <x v="4"/>
    <x v="0"/>
    <x v="0"/>
    <x v="36"/>
    <x v="2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2"/>
    <x v="1"/>
  </r>
  <r>
    <x v="359"/>
    <x v="0"/>
    <x v="1"/>
    <x v="2"/>
    <x v="3"/>
    <x v="0"/>
    <x v="2"/>
    <x v="0"/>
    <x v="4"/>
    <x v="4"/>
    <x v="1"/>
    <x v="25"/>
    <x v="0"/>
    <x v="0"/>
  </r>
  <r>
    <x v="360"/>
    <x v="1"/>
    <x v="1"/>
    <x v="12"/>
    <x v="3"/>
    <x v="4"/>
    <x v="4"/>
    <x v="0"/>
    <x v="0"/>
    <x v="1"/>
    <x v="1"/>
    <x v="28"/>
    <x v="1"/>
    <x v="1"/>
  </r>
  <r>
    <x v="361"/>
    <x v="1"/>
    <x v="0"/>
    <x v="1"/>
    <x v="1"/>
    <x v="1"/>
    <x v="1"/>
    <x v="1"/>
    <x v="2"/>
    <x v="0"/>
    <x v="0"/>
    <x v="40"/>
    <x v="0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0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1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0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2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1"/>
    <x v="1"/>
  </r>
  <r>
    <x v="373"/>
    <x v="1"/>
    <x v="1"/>
    <x v="6"/>
    <x v="3"/>
    <x v="2"/>
    <x v="3"/>
    <x v="1"/>
    <x v="1"/>
    <x v="1"/>
    <x v="0"/>
    <x v="25"/>
    <x v="1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0"/>
    <x v="1"/>
  </r>
  <r>
    <x v="377"/>
    <x v="0"/>
    <x v="1"/>
    <x v="12"/>
    <x v="1"/>
    <x v="1"/>
    <x v="2"/>
    <x v="1"/>
    <x v="4"/>
    <x v="2"/>
    <x v="0"/>
    <x v="36"/>
    <x v="2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0"/>
    <x v="1"/>
  </r>
  <r>
    <x v="381"/>
    <x v="0"/>
    <x v="0"/>
    <x v="1"/>
    <x v="4"/>
    <x v="1"/>
    <x v="1"/>
    <x v="0"/>
    <x v="2"/>
    <x v="2"/>
    <x v="1"/>
    <x v="45"/>
    <x v="2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0"/>
    <x v="1"/>
  </r>
  <r>
    <x v="385"/>
    <x v="1"/>
    <x v="1"/>
    <x v="1"/>
    <x v="1"/>
    <x v="1"/>
    <x v="1"/>
    <x v="0"/>
    <x v="0"/>
    <x v="0"/>
    <x v="0"/>
    <x v="1"/>
    <x v="1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0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1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0"/>
    <x v="0"/>
  </r>
  <r>
    <x v="398"/>
    <x v="1"/>
    <x v="1"/>
    <x v="1"/>
    <x v="0"/>
    <x v="0"/>
    <x v="1"/>
    <x v="0"/>
    <x v="1"/>
    <x v="3"/>
    <x v="0"/>
    <x v="32"/>
    <x v="1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0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1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0"/>
    <x v="0"/>
  </r>
  <r>
    <x v="414"/>
    <x v="0"/>
    <x v="0"/>
    <x v="0"/>
    <x v="3"/>
    <x v="4"/>
    <x v="1"/>
    <x v="0"/>
    <x v="0"/>
    <x v="0"/>
    <x v="0"/>
    <x v="11"/>
    <x v="1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0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1"/>
    <x v="1"/>
  </r>
  <r>
    <x v="423"/>
    <x v="1"/>
    <x v="1"/>
    <x v="1"/>
    <x v="3"/>
    <x v="2"/>
    <x v="3"/>
    <x v="0"/>
    <x v="1"/>
    <x v="1"/>
    <x v="0"/>
    <x v="17"/>
    <x v="2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0"/>
    <x v="0"/>
  </r>
  <r>
    <x v="426"/>
    <x v="1"/>
    <x v="1"/>
    <x v="1"/>
    <x v="3"/>
    <x v="1"/>
    <x v="1"/>
    <x v="1"/>
    <x v="1"/>
    <x v="1"/>
    <x v="0"/>
    <x v="26"/>
    <x v="0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2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2"/>
    <x v="0"/>
  </r>
  <r>
    <x v="431"/>
    <x v="1"/>
    <x v="1"/>
    <x v="6"/>
    <x v="3"/>
    <x v="1"/>
    <x v="3"/>
    <x v="0"/>
    <x v="0"/>
    <x v="0"/>
    <x v="1"/>
    <x v="26"/>
    <x v="0"/>
    <x v="1"/>
  </r>
  <r>
    <x v="432"/>
    <x v="0"/>
    <x v="0"/>
    <x v="15"/>
    <x v="3"/>
    <x v="2"/>
    <x v="4"/>
    <x v="0"/>
    <x v="4"/>
    <x v="4"/>
    <x v="1"/>
    <x v="17"/>
    <x v="1"/>
    <x v="1"/>
  </r>
  <r>
    <x v="433"/>
    <x v="1"/>
    <x v="0"/>
    <x v="1"/>
    <x v="1"/>
    <x v="1"/>
    <x v="1"/>
    <x v="1"/>
    <x v="1"/>
    <x v="0"/>
    <x v="0"/>
    <x v="22"/>
    <x v="0"/>
    <x v="0"/>
  </r>
  <r>
    <x v="434"/>
    <x v="0"/>
    <x v="0"/>
    <x v="1"/>
    <x v="1"/>
    <x v="2"/>
    <x v="0"/>
    <x v="0"/>
    <x v="2"/>
    <x v="2"/>
    <x v="1"/>
    <x v="39"/>
    <x v="2"/>
    <x v="1"/>
  </r>
  <r>
    <x v="435"/>
    <x v="1"/>
    <x v="0"/>
    <x v="4"/>
    <x v="4"/>
    <x v="0"/>
    <x v="1"/>
    <x v="1"/>
    <x v="1"/>
    <x v="1"/>
    <x v="0"/>
    <x v="35"/>
    <x v="0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0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1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0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1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0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1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0"/>
    <x v="0"/>
  </r>
  <r>
    <x v="466"/>
    <x v="1"/>
    <x v="0"/>
    <x v="1"/>
    <x v="1"/>
    <x v="0"/>
    <x v="1"/>
    <x v="0"/>
    <x v="0"/>
    <x v="0"/>
    <x v="0"/>
    <x v="15"/>
    <x v="1"/>
    <x v="1"/>
  </r>
  <r>
    <x v="467"/>
    <x v="1"/>
    <x v="1"/>
    <x v="11"/>
    <x v="0"/>
    <x v="0"/>
    <x v="4"/>
    <x v="1"/>
    <x v="4"/>
    <x v="0"/>
    <x v="1"/>
    <x v="30"/>
    <x v="2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0"/>
    <x v="0"/>
  </r>
  <r>
    <x v="470"/>
    <x v="1"/>
    <x v="1"/>
    <x v="1"/>
    <x v="3"/>
    <x v="2"/>
    <x v="3"/>
    <x v="1"/>
    <x v="1"/>
    <x v="3"/>
    <x v="0"/>
    <x v="26"/>
    <x v="0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1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0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1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0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1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1"/>
    <x v="1"/>
  </r>
  <r>
    <x v="493"/>
    <x v="1"/>
    <x v="1"/>
    <x v="3"/>
    <x v="2"/>
    <x v="0"/>
    <x v="4"/>
    <x v="0"/>
    <x v="4"/>
    <x v="4"/>
    <x v="2"/>
    <x v="2"/>
    <x v="0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0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2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0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2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1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1"/>
    <x v="1"/>
  </r>
  <r>
    <x v="511"/>
    <x v="1"/>
    <x v="1"/>
    <x v="2"/>
    <x v="5"/>
    <x v="0"/>
    <x v="4"/>
    <x v="0"/>
    <x v="0"/>
    <x v="2"/>
    <x v="2"/>
    <x v="29"/>
    <x v="0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0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1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1"/>
    <x v="1"/>
  </r>
  <r>
    <x v="519"/>
    <x v="0"/>
    <x v="1"/>
    <x v="2"/>
    <x v="2"/>
    <x v="0"/>
    <x v="4"/>
    <x v="0"/>
    <x v="2"/>
    <x v="3"/>
    <x v="2"/>
    <x v="46"/>
    <x v="0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1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0"/>
    <x v="0"/>
  </r>
  <r>
    <x v="525"/>
    <x v="1"/>
    <x v="1"/>
    <x v="10"/>
    <x v="2"/>
    <x v="0"/>
    <x v="4"/>
    <x v="0"/>
    <x v="4"/>
    <x v="4"/>
    <x v="2"/>
    <x v="14"/>
    <x v="2"/>
    <x v="1"/>
  </r>
  <r>
    <x v="526"/>
    <x v="0"/>
    <x v="0"/>
    <x v="15"/>
    <x v="0"/>
    <x v="0"/>
    <x v="4"/>
    <x v="0"/>
    <x v="2"/>
    <x v="3"/>
    <x v="2"/>
    <x v="20"/>
    <x v="1"/>
    <x v="0"/>
  </r>
  <r>
    <x v="527"/>
    <x v="0"/>
    <x v="1"/>
    <x v="14"/>
    <x v="0"/>
    <x v="0"/>
    <x v="0"/>
    <x v="0"/>
    <x v="0"/>
    <x v="0"/>
    <x v="2"/>
    <x v="4"/>
    <x v="2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0"/>
    <x v="1"/>
  </r>
  <r>
    <x v="530"/>
    <x v="0"/>
    <x v="1"/>
    <x v="10"/>
    <x v="3"/>
    <x v="1"/>
    <x v="0"/>
    <x v="0"/>
    <x v="1"/>
    <x v="2"/>
    <x v="2"/>
    <x v="40"/>
    <x v="1"/>
    <x v="1"/>
  </r>
  <r>
    <x v="531"/>
    <x v="1"/>
    <x v="1"/>
    <x v="1"/>
    <x v="3"/>
    <x v="3"/>
    <x v="1"/>
    <x v="0"/>
    <x v="2"/>
    <x v="2"/>
    <x v="2"/>
    <x v="26"/>
    <x v="1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0"/>
    <x v="0"/>
  </r>
  <r>
    <x v="534"/>
    <x v="0"/>
    <x v="1"/>
    <x v="0"/>
    <x v="5"/>
    <x v="2"/>
    <x v="2"/>
    <x v="0"/>
    <x v="2"/>
    <x v="4"/>
    <x v="2"/>
    <x v="46"/>
    <x v="0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2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0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0"/>
    <x v="1"/>
  </r>
  <r>
    <x v="548"/>
    <x v="1"/>
    <x v="0"/>
    <x v="2"/>
    <x v="5"/>
    <x v="4"/>
    <x v="0"/>
    <x v="1"/>
    <x v="0"/>
    <x v="0"/>
    <x v="2"/>
    <x v="28"/>
    <x v="1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1"/>
    <x v="1"/>
  </r>
  <r>
    <x v="551"/>
    <x v="0"/>
    <x v="0"/>
    <x v="14"/>
    <x v="5"/>
    <x v="0"/>
    <x v="4"/>
    <x v="0"/>
    <x v="2"/>
    <x v="4"/>
    <x v="2"/>
    <x v="18"/>
    <x v="0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0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1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0"/>
    <x v="0"/>
  </r>
  <r>
    <x v="560"/>
    <x v="0"/>
    <x v="0"/>
    <x v="10"/>
    <x v="3"/>
    <x v="4"/>
    <x v="2"/>
    <x v="0"/>
    <x v="0"/>
    <x v="0"/>
    <x v="2"/>
    <x v="8"/>
    <x v="2"/>
    <x v="0"/>
  </r>
  <r>
    <x v="561"/>
    <x v="0"/>
    <x v="0"/>
    <x v="6"/>
    <x v="4"/>
    <x v="3"/>
    <x v="1"/>
    <x v="1"/>
    <x v="0"/>
    <x v="0"/>
    <x v="2"/>
    <x v="28"/>
    <x v="2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1"/>
    <x v="0"/>
  </r>
  <r>
    <x v="564"/>
    <x v="1"/>
    <x v="1"/>
    <x v="1"/>
    <x v="3"/>
    <x v="1"/>
    <x v="0"/>
    <x v="0"/>
    <x v="1"/>
    <x v="2"/>
    <x v="2"/>
    <x v="40"/>
    <x v="0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2"/>
    <x v="0"/>
  </r>
  <r>
    <x v="570"/>
    <x v="0"/>
    <x v="1"/>
    <x v="3"/>
    <x v="1"/>
    <x v="3"/>
    <x v="0"/>
    <x v="0"/>
    <x v="2"/>
    <x v="2"/>
    <x v="2"/>
    <x v="31"/>
    <x v="1"/>
    <x v="0"/>
  </r>
  <r>
    <x v="571"/>
    <x v="0"/>
    <x v="1"/>
    <x v="0"/>
    <x v="4"/>
    <x v="3"/>
    <x v="0"/>
    <x v="0"/>
    <x v="2"/>
    <x v="1"/>
    <x v="2"/>
    <x v="10"/>
    <x v="0"/>
    <x v="0"/>
  </r>
  <r>
    <x v="572"/>
    <x v="1"/>
    <x v="1"/>
    <x v="1"/>
    <x v="3"/>
    <x v="2"/>
    <x v="0"/>
    <x v="0"/>
    <x v="2"/>
    <x v="2"/>
    <x v="2"/>
    <x v="25"/>
    <x v="1"/>
    <x v="0"/>
  </r>
  <r>
    <x v="573"/>
    <x v="0"/>
    <x v="1"/>
    <x v="10"/>
    <x v="1"/>
    <x v="4"/>
    <x v="4"/>
    <x v="0"/>
    <x v="2"/>
    <x v="3"/>
    <x v="2"/>
    <x v="18"/>
    <x v="0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1"/>
    <x v="0"/>
  </r>
  <r>
    <x v="578"/>
    <x v="0"/>
    <x v="1"/>
    <x v="10"/>
    <x v="5"/>
    <x v="0"/>
    <x v="4"/>
    <x v="0"/>
    <x v="2"/>
    <x v="1"/>
    <x v="2"/>
    <x v="14"/>
    <x v="2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0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0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1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1"/>
    <x v="1"/>
  </r>
  <r>
    <x v="589"/>
    <x v="1"/>
    <x v="1"/>
    <x v="10"/>
    <x v="4"/>
    <x v="0"/>
    <x v="4"/>
    <x v="0"/>
    <x v="0"/>
    <x v="4"/>
    <x v="2"/>
    <x v="42"/>
    <x v="0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1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0"/>
    <x v="0"/>
  </r>
  <r>
    <x v="596"/>
    <x v="0"/>
    <x v="0"/>
    <x v="8"/>
    <x v="5"/>
    <x v="1"/>
    <x v="2"/>
    <x v="0"/>
    <x v="1"/>
    <x v="3"/>
    <x v="2"/>
    <x v="12"/>
    <x v="1"/>
    <x v="0"/>
  </r>
  <r>
    <x v="597"/>
    <x v="1"/>
    <x v="1"/>
    <x v="0"/>
    <x v="4"/>
    <x v="2"/>
    <x v="2"/>
    <x v="1"/>
    <x v="1"/>
    <x v="1"/>
    <x v="2"/>
    <x v="7"/>
    <x v="0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0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2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0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2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0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2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1"/>
    <x v="0"/>
  </r>
  <r>
    <x v="619"/>
    <x v="1"/>
    <x v="0"/>
    <x v="0"/>
    <x v="3"/>
    <x v="2"/>
    <x v="0"/>
    <x v="0"/>
    <x v="1"/>
    <x v="2"/>
    <x v="2"/>
    <x v="25"/>
    <x v="0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2"/>
    <x v="0"/>
  </r>
  <r>
    <x v="622"/>
    <x v="0"/>
    <x v="1"/>
    <x v="10"/>
    <x v="2"/>
    <x v="0"/>
    <x v="2"/>
    <x v="0"/>
    <x v="1"/>
    <x v="1"/>
    <x v="2"/>
    <x v="15"/>
    <x v="1"/>
    <x v="0"/>
  </r>
  <r>
    <x v="623"/>
    <x v="0"/>
    <x v="0"/>
    <x v="3"/>
    <x v="5"/>
    <x v="1"/>
    <x v="2"/>
    <x v="0"/>
    <x v="1"/>
    <x v="3"/>
    <x v="2"/>
    <x v="10"/>
    <x v="2"/>
    <x v="0"/>
  </r>
  <r>
    <x v="624"/>
    <x v="1"/>
    <x v="0"/>
    <x v="3"/>
    <x v="3"/>
    <x v="1"/>
    <x v="0"/>
    <x v="1"/>
    <x v="2"/>
    <x v="0"/>
    <x v="2"/>
    <x v="40"/>
    <x v="1"/>
    <x v="1"/>
  </r>
  <r>
    <x v="625"/>
    <x v="0"/>
    <x v="1"/>
    <x v="10"/>
    <x v="1"/>
    <x v="4"/>
    <x v="4"/>
    <x v="0"/>
    <x v="2"/>
    <x v="3"/>
    <x v="2"/>
    <x v="41"/>
    <x v="0"/>
    <x v="0"/>
  </r>
  <r>
    <x v="626"/>
    <x v="0"/>
    <x v="0"/>
    <x v="10"/>
    <x v="3"/>
    <x v="1"/>
    <x v="0"/>
    <x v="0"/>
    <x v="2"/>
    <x v="2"/>
    <x v="2"/>
    <x v="19"/>
    <x v="0"/>
    <x v="0"/>
  </r>
  <r>
    <x v="627"/>
    <x v="0"/>
    <x v="0"/>
    <x v="10"/>
    <x v="1"/>
    <x v="4"/>
    <x v="4"/>
    <x v="0"/>
    <x v="2"/>
    <x v="3"/>
    <x v="2"/>
    <x v="41"/>
    <x v="2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0"/>
    <x v="0"/>
  </r>
  <r>
    <x v="631"/>
    <x v="1"/>
    <x v="1"/>
    <x v="3"/>
    <x v="2"/>
    <x v="1"/>
    <x v="2"/>
    <x v="0"/>
    <x v="4"/>
    <x v="1"/>
    <x v="2"/>
    <x v="20"/>
    <x v="1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2"/>
    <x v="0"/>
  </r>
  <r>
    <x v="635"/>
    <x v="1"/>
    <x v="0"/>
    <x v="1"/>
    <x v="4"/>
    <x v="2"/>
    <x v="0"/>
    <x v="1"/>
    <x v="2"/>
    <x v="0"/>
    <x v="2"/>
    <x v="38"/>
    <x v="1"/>
    <x v="0"/>
  </r>
  <r>
    <x v="636"/>
    <x v="1"/>
    <x v="0"/>
    <x v="7"/>
    <x v="5"/>
    <x v="1"/>
    <x v="2"/>
    <x v="0"/>
    <x v="4"/>
    <x v="2"/>
    <x v="2"/>
    <x v="1"/>
    <x v="1"/>
    <x v="1"/>
  </r>
  <r>
    <x v="637"/>
    <x v="1"/>
    <x v="1"/>
    <x v="0"/>
    <x v="3"/>
    <x v="2"/>
    <x v="0"/>
    <x v="1"/>
    <x v="2"/>
    <x v="3"/>
    <x v="2"/>
    <x v="25"/>
    <x v="1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0"/>
    <x v="0"/>
  </r>
  <r>
    <x v="640"/>
    <x v="0"/>
    <x v="0"/>
    <x v="10"/>
    <x v="4"/>
    <x v="1"/>
    <x v="2"/>
    <x v="0"/>
    <x v="2"/>
    <x v="1"/>
    <x v="2"/>
    <x v="16"/>
    <x v="0"/>
    <x v="1"/>
  </r>
  <r>
    <x v="641"/>
    <x v="0"/>
    <x v="1"/>
    <x v="14"/>
    <x v="5"/>
    <x v="0"/>
    <x v="4"/>
    <x v="0"/>
    <x v="2"/>
    <x v="4"/>
    <x v="2"/>
    <x v="46"/>
    <x v="0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1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1"/>
    <x v="0"/>
  </r>
  <r>
    <x v="648"/>
    <x v="1"/>
    <x v="0"/>
    <x v="3"/>
    <x v="4"/>
    <x v="0"/>
    <x v="4"/>
    <x v="1"/>
    <x v="1"/>
    <x v="1"/>
    <x v="2"/>
    <x v="7"/>
    <x v="0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0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1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2"/>
    <x v="1"/>
  </r>
  <r>
    <x v="659"/>
    <x v="1"/>
    <x v="0"/>
    <x v="10"/>
    <x v="5"/>
    <x v="0"/>
    <x v="4"/>
    <x v="0"/>
    <x v="2"/>
    <x v="4"/>
    <x v="2"/>
    <x v="18"/>
    <x v="0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0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1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2"/>
    <x v="0"/>
  </r>
  <r>
    <x v="670"/>
    <x v="0"/>
    <x v="1"/>
    <x v="3"/>
    <x v="4"/>
    <x v="1"/>
    <x v="2"/>
    <x v="0"/>
    <x v="1"/>
    <x v="4"/>
    <x v="2"/>
    <x v="14"/>
    <x v="0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0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1"/>
    <x v="0"/>
  </r>
  <r>
    <x v="676"/>
    <x v="0"/>
    <x v="1"/>
    <x v="0"/>
    <x v="4"/>
    <x v="1"/>
    <x v="1"/>
    <x v="0"/>
    <x v="1"/>
    <x v="0"/>
    <x v="2"/>
    <x v="15"/>
    <x v="1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0"/>
    <x v="0"/>
  </r>
  <r>
    <x v="679"/>
    <x v="0"/>
    <x v="1"/>
    <x v="10"/>
    <x v="5"/>
    <x v="0"/>
    <x v="4"/>
    <x v="0"/>
    <x v="2"/>
    <x v="4"/>
    <x v="2"/>
    <x v="2"/>
    <x v="0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2"/>
    <x v="0"/>
  </r>
  <r>
    <x v="685"/>
    <x v="1"/>
    <x v="0"/>
    <x v="10"/>
    <x v="1"/>
    <x v="4"/>
    <x v="4"/>
    <x v="0"/>
    <x v="2"/>
    <x v="2"/>
    <x v="2"/>
    <x v="39"/>
    <x v="2"/>
    <x v="1"/>
  </r>
  <r>
    <x v="686"/>
    <x v="0"/>
    <x v="0"/>
    <x v="0"/>
    <x v="0"/>
    <x v="1"/>
    <x v="1"/>
    <x v="0"/>
    <x v="1"/>
    <x v="3"/>
    <x v="2"/>
    <x v="36"/>
    <x v="2"/>
    <x v="1"/>
  </r>
  <r>
    <x v="687"/>
    <x v="1"/>
    <x v="1"/>
    <x v="1"/>
    <x v="3"/>
    <x v="1"/>
    <x v="0"/>
    <x v="0"/>
    <x v="2"/>
    <x v="2"/>
    <x v="2"/>
    <x v="25"/>
    <x v="0"/>
    <x v="0"/>
  </r>
  <r>
    <x v="688"/>
    <x v="1"/>
    <x v="1"/>
    <x v="10"/>
    <x v="3"/>
    <x v="0"/>
    <x v="0"/>
    <x v="1"/>
    <x v="2"/>
    <x v="0"/>
    <x v="2"/>
    <x v="25"/>
    <x v="0"/>
    <x v="0"/>
  </r>
  <r>
    <x v="689"/>
    <x v="0"/>
    <x v="1"/>
    <x v="1"/>
    <x v="3"/>
    <x v="2"/>
    <x v="0"/>
    <x v="0"/>
    <x v="2"/>
    <x v="2"/>
    <x v="2"/>
    <x v="22"/>
    <x v="0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2"/>
    <x v="1"/>
  </r>
  <r>
    <x v="694"/>
    <x v="1"/>
    <x v="0"/>
    <x v="2"/>
    <x v="1"/>
    <x v="4"/>
    <x v="2"/>
    <x v="1"/>
    <x v="0"/>
    <x v="0"/>
    <x v="2"/>
    <x v="4"/>
    <x v="2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0"/>
    <x v="0"/>
  </r>
  <r>
    <x v="697"/>
    <x v="0"/>
    <x v="0"/>
    <x v="1"/>
    <x v="3"/>
    <x v="3"/>
    <x v="1"/>
    <x v="1"/>
    <x v="2"/>
    <x v="0"/>
    <x v="2"/>
    <x v="26"/>
    <x v="1"/>
    <x v="0"/>
  </r>
  <r>
    <x v="698"/>
    <x v="0"/>
    <x v="1"/>
    <x v="6"/>
    <x v="4"/>
    <x v="3"/>
    <x v="1"/>
    <x v="0"/>
    <x v="2"/>
    <x v="3"/>
    <x v="2"/>
    <x v="38"/>
    <x v="2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0"/>
    <x v="0"/>
  </r>
  <r>
    <x v="701"/>
    <x v="1"/>
    <x v="1"/>
    <x v="1"/>
    <x v="3"/>
    <x v="2"/>
    <x v="0"/>
    <x v="0"/>
    <x v="2"/>
    <x v="2"/>
    <x v="2"/>
    <x v="22"/>
    <x v="0"/>
    <x v="0"/>
  </r>
  <r>
    <x v="702"/>
    <x v="0"/>
    <x v="1"/>
    <x v="7"/>
    <x v="0"/>
    <x v="2"/>
    <x v="2"/>
    <x v="0"/>
    <x v="3"/>
    <x v="2"/>
    <x v="2"/>
    <x v="30"/>
    <x v="1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1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2"/>
    <x v="0"/>
  </r>
  <r>
    <x v="712"/>
    <x v="0"/>
    <x v="0"/>
    <x v="0"/>
    <x v="4"/>
    <x v="2"/>
    <x v="2"/>
    <x v="1"/>
    <x v="2"/>
    <x v="1"/>
    <x v="2"/>
    <x v="14"/>
    <x v="0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0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1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0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2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0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2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0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2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2"/>
    <x v="0"/>
  </r>
  <r>
    <x v="740"/>
    <x v="0"/>
    <x v="1"/>
    <x v="0"/>
    <x v="5"/>
    <x v="1"/>
    <x v="1"/>
    <x v="1"/>
    <x v="0"/>
    <x v="0"/>
    <x v="2"/>
    <x v="25"/>
    <x v="0"/>
    <x v="0"/>
  </r>
  <r>
    <x v="741"/>
    <x v="0"/>
    <x v="0"/>
    <x v="0"/>
    <x v="0"/>
    <x v="1"/>
    <x v="1"/>
    <x v="0"/>
    <x v="1"/>
    <x v="3"/>
    <x v="2"/>
    <x v="28"/>
    <x v="1"/>
    <x v="1"/>
  </r>
  <r>
    <x v="742"/>
    <x v="1"/>
    <x v="1"/>
    <x v="1"/>
    <x v="3"/>
    <x v="2"/>
    <x v="0"/>
    <x v="0"/>
    <x v="2"/>
    <x v="2"/>
    <x v="2"/>
    <x v="25"/>
    <x v="0"/>
    <x v="0"/>
  </r>
  <r>
    <x v="743"/>
    <x v="0"/>
    <x v="1"/>
    <x v="15"/>
    <x v="0"/>
    <x v="0"/>
    <x v="4"/>
    <x v="0"/>
    <x v="4"/>
    <x v="2"/>
    <x v="2"/>
    <x v="12"/>
    <x v="1"/>
    <x v="0"/>
  </r>
  <r>
    <x v="744"/>
    <x v="0"/>
    <x v="0"/>
    <x v="3"/>
    <x v="5"/>
    <x v="1"/>
    <x v="2"/>
    <x v="0"/>
    <x v="1"/>
    <x v="4"/>
    <x v="2"/>
    <x v="16"/>
    <x v="0"/>
    <x v="0"/>
  </r>
  <r>
    <x v="745"/>
    <x v="0"/>
    <x v="1"/>
    <x v="10"/>
    <x v="5"/>
    <x v="4"/>
    <x v="0"/>
    <x v="0"/>
    <x v="0"/>
    <x v="3"/>
    <x v="2"/>
    <x v="15"/>
    <x v="1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0"/>
    <x v="0"/>
  </r>
  <r>
    <x v="749"/>
    <x v="0"/>
    <x v="0"/>
    <x v="3"/>
    <x v="4"/>
    <x v="1"/>
    <x v="2"/>
    <x v="0"/>
    <x v="1"/>
    <x v="1"/>
    <x v="2"/>
    <x v="14"/>
    <x v="0"/>
    <x v="0"/>
  </r>
  <r>
    <x v="750"/>
    <x v="0"/>
    <x v="1"/>
    <x v="1"/>
    <x v="4"/>
    <x v="2"/>
    <x v="0"/>
    <x v="0"/>
    <x v="2"/>
    <x v="3"/>
    <x v="2"/>
    <x v="5"/>
    <x v="2"/>
    <x v="0"/>
  </r>
  <r>
    <x v="751"/>
    <x v="0"/>
    <x v="1"/>
    <x v="10"/>
    <x v="0"/>
    <x v="4"/>
    <x v="2"/>
    <x v="0"/>
    <x v="0"/>
    <x v="1"/>
    <x v="2"/>
    <x v="4"/>
    <x v="1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0"/>
    <x v="0"/>
  </r>
  <r>
    <x v="754"/>
    <x v="0"/>
    <x v="0"/>
    <x v="0"/>
    <x v="5"/>
    <x v="2"/>
    <x v="2"/>
    <x v="0"/>
    <x v="2"/>
    <x v="2"/>
    <x v="2"/>
    <x v="14"/>
    <x v="0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1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2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1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0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0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1"/>
    <x v="0"/>
  </r>
  <r>
    <x v="774"/>
    <x v="0"/>
    <x v="0"/>
    <x v="2"/>
    <x v="1"/>
    <x v="4"/>
    <x v="2"/>
    <x v="0"/>
    <x v="0"/>
    <x v="0"/>
    <x v="2"/>
    <x v="4"/>
    <x v="2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0"/>
    <x v="1"/>
  </r>
  <r>
    <x v="777"/>
    <x v="1"/>
    <x v="1"/>
    <x v="0"/>
    <x v="3"/>
    <x v="2"/>
    <x v="0"/>
    <x v="0"/>
    <x v="2"/>
    <x v="2"/>
    <x v="2"/>
    <x v="40"/>
    <x v="0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0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2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1"/>
    <x v="1"/>
  </r>
  <r>
    <x v="785"/>
    <x v="1"/>
    <x v="0"/>
    <x v="0"/>
    <x v="3"/>
    <x v="2"/>
    <x v="0"/>
    <x v="1"/>
    <x v="2"/>
    <x v="0"/>
    <x v="2"/>
    <x v="26"/>
    <x v="0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0"/>
    <x v="1"/>
  </r>
  <r>
    <x v="788"/>
    <x v="1"/>
    <x v="0"/>
    <x v="6"/>
    <x v="4"/>
    <x v="3"/>
    <x v="1"/>
    <x v="0"/>
    <x v="2"/>
    <x v="3"/>
    <x v="2"/>
    <x v="38"/>
    <x v="2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1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1"/>
    <x v="1"/>
  </r>
  <r>
    <x v="794"/>
    <x v="0"/>
    <x v="1"/>
    <x v="14"/>
    <x v="4"/>
    <x v="4"/>
    <x v="4"/>
    <x v="0"/>
    <x v="2"/>
    <x v="2"/>
    <x v="2"/>
    <x v="45"/>
    <x v="2"/>
    <x v="0"/>
  </r>
  <r>
    <x v="795"/>
    <x v="1"/>
    <x v="1"/>
    <x v="10"/>
    <x v="4"/>
    <x v="2"/>
    <x v="2"/>
    <x v="0"/>
    <x v="2"/>
    <x v="2"/>
    <x v="2"/>
    <x v="36"/>
    <x v="2"/>
    <x v="0"/>
  </r>
  <r>
    <x v="796"/>
    <x v="0"/>
    <x v="1"/>
    <x v="3"/>
    <x v="2"/>
    <x v="1"/>
    <x v="2"/>
    <x v="0"/>
    <x v="2"/>
    <x v="3"/>
    <x v="2"/>
    <x v="42"/>
    <x v="0"/>
    <x v="1"/>
  </r>
  <r>
    <x v="797"/>
    <x v="1"/>
    <x v="1"/>
    <x v="10"/>
    <x v="3"/>
    <x v="1"/>
    <x v="0"/>
    <x v="0"/>
    <x v="1"/>
    <x v="2"/>
    <x v="2"/>
    <x v="40"/>
    <x v="0"/>
    <x v="1"/>
  </r>
  <r>
    <x v="798"/>
    <x v="1"/>
    <x v="0"/>
    <x v="1"/>
    <x v="3"/>
    <x v="2"/>
    <x v="0"/>
    <x v="1"/>
    <x v="2"/>
    <x v="0"/>
    <x v="2"/>
    <x v="37"/>
    <x v="1"/>
    <x v="1"/>
  </r>
  <r>
    <x v="799"/>
    <x v="1"/>
    <x v="0"/>
    <x v="14"/>
    <x v="0"/>
    <x v="4"/>
    <x v="0"/>
    <x v="0"/>
    <x v="0"/>
    <x v="3"/>
    <x v="2"/>
    <x v="6"/>
    <x v="2"/>
    <x v="1"/>
  </r>
  <r>
    <x v="800"/>
    <x v="1"/>
    <x v="1"/>
    <x v="10"/>
    <x v="5"/>
    <x v="0"/>
    <x v="2"/>
    <x v="0"/>
    <x v="2"/>
    <x v="1"/>
    <x v="2"/>
    <x v="1"/>
    <x v="2"/>
    <x v="1"/>
  </r>
  <r>
    <x v="801"/>
    <x v="0"/>
    <x v="1"/>
    <x v="3"/>
    <x v="5"/>
    <x v="4"/>
    <x v="4"/>
    <x v="0"/>
    <x v="2"/>
    <x v="2"/>
    <x v="2"/>
    <x v="49"/>
    <x v="2"/>
    <x v="0"/>
  </r>
  <r>
    <x v="802"/>
    <x v="0"/>
    <x v="1"/>
    <x v="0"/>
    <x v="3"/>
    <x v="1"/>
    <x v="0"/>
    <x v="0"/>
    <x v="1"/>
    <x v="2"/>
    <x v="2"/>
    <x v="40"/>
    <x v="0"/>
    <x v="0"/>
  </r>
  <r>
    <x v="803"/>
    <x v="0"/>
    <x v="1"/>
    <x v="0"/>
    <x v="3"/>
    <x v="2"/>
    <x v="0"/>
    <x v="0"/>
    <x v="2"/>
    <x v="2"/>
    <x v="2"/>
    <x v="26"/>
    <x v="0"/>
    <x v="1"/>
  </r>
  <r>
    <x v="804"/>
    <x v="0"/>
    <x v="1"/>
    <x v="0"/>
    <x v="3"/>
    <x v="2"/>
    <x v="0"/>
    <x v="1"/>
    <x v="2"/>
    <x v="0"/>
    <x v="2"/>
    <x v="40"/>
    <x v="0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1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1"/>
    <x v="0"/>
  </r>
  <r>
    <x v="812"/>
    <x v="1"/>
    <x v="0"/>
    <x v="3"/>
    <x v="5"/>
    <x v="0"/>
    <x v="4"/>
    <x v="0"/>
    <x v="2"/>
    <x v="4"/>
    <x v="2"/>
    <x v="33"/>
    <x v="2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0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2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0"/>
    <x v="0"/>
  </r>
  <r>
    <x v="819"/>
    <x v="1"/>
    <x v="0"/>
    <x v="0"/>
    <x v="3"/>
    <x v="2"/>
    <x v="0"/>
    <x v="0"/>
    <x v="2"/>
    <x v="2"/>
    <x v="2"/>
    <x v="25"/>
    <x v="0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2"/>
    <x v="1"/>
  </r>
  <r>
    <x v="826"/>
    <x v="0"/>
    <x v="1"/>
    <x v="3"/>
    <x v="5"/>
    <x v="4"/>
    <x v="2"/>
    <x v="0"/>
    <x v="0"/>
    <x v="1"/>
    <x v="2"/>
    <x v="4"/>
    <x v="1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0"/>
    <x v="0"/>
  </r>
  <r>
    <x v="829"/>
    <x v="1"/>
    <x v="1"/>
    <x v="9"/>
    <x v="0"/>
    <x v="4"/>
    <x v="4"/>
    <x v="1"/>
    <x v="3"/>
    <x v="0"/>
    <x v="2"/>
    <x v="29"/>
    <x v="0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2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0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1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1"/>
    <x v="0"/>
  </r>
  <r>
    <x v="844"/>
    <x v="0"/>
    <x v="0"/>
    <x v="0"/>
    <x v="2"/>
    <x v="2"/>
    <x v="2"/>
    <x v="0"/>
    <x v="2"/>
    <x v="4"/>
    <x v="2"/>
    <x v="2"/>
    <x v="2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1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0"/>
    <x v="0"/>
  </r>
  <r>
    <x v="850"/>
    <x v="1"/>
    <x v="0"/>
    <x v="12"/>
    <x v="4"/>
    <x v="0"/>
    <x v="4"/>
    <x v="1"/>
    <x v="3"/>
    <x v="0"/>
    <x v="2"/>
    <x v="41"/>
    <x v="0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2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0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1"/>
    <x v="1"/>
  </r>
  <r>
    <x v="866"/>
    <x v="0"/>
    <x v="1"/>
    <x v="10"/>
    <x v="4"/>
    <x v="2"/>
    <x v="2"/>
    <x v="0"/>
    <x v="2"/>
    <x v="4"/>
    <x v="2"/>
    <x v="10"/>
    <x v="0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0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0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2"/>
    <x v="0"/>
  </r>
  <r>
    <x v="874"/>
    <x v="0"/>
    <x v="0"/>
    <x v="1"/>
    <x v="0"/>
    <x v="0"/>
    <x v="0"/>
    <x v="0"/>
    <x v="1"/>
    <x v="2"/>
    <x v="2"/>
    <x v="39"/>
    <x v="1"/>
    <x v="1"/>
  </r>
  <r>
    <x v="875"/>
    <x v="1"/>
    <x v="0"/>
    <x v="3"/>
    <x v="4"/>
    <x v="0"/>
    <x v="0"/>
    <x v="0"/>
    <x v="0"/>
    <x v="1"/>
    <x v="2"/>
    <x v="13"/>
    <x v="1"/>
    <x v="1"/>
  </r>
  <r>
    <x v="876"/>
    <x v="1"/>
    <x v="1"/>
    <x v="1"/>
    <x v="3"/>
    <x v="3"/>
    <x v="1"/>
    <x v="1"/>
    <x v="2"/>
    <x v="0"/>
    <x v="2"/>
    <x v="22"/>
    <x v="0"/>
    <x v="0"/>
  </r>
  <r>
    <x v="877"/>
    <x v="0"/>
    <x v="1"/>
    <x v="3"/>
    <x v="2"/>
    <x v="0"/>
    <x v="4"/>
    <x v="0"/>
    <x v="2"/>
    <x v="1"/>
    <x v="2"/>
    <x v="33"/>
    <x v="0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0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1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0"/>
    <x v="1"/>
  </r>
  <r>
    <x v="892"/>
    <x v="1"/>
    <x v="0"/>
    <x v="3"/>
    <x v="5"/>
    <x v="0"/>
    <x v="0"/>
    <x v="0"/>
    <x v="2"/>
    <x v="1"/>
    <x v="2"/>
    <x v="1"/>
    <x v="1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2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0"/>
    <x v="0"/>
  </r>
  <r>
    <x v="898"/>
    <x v="1"/>
    <x v="1"/>
    <x v="3"/>
    <x v="2"/>
    <x v="0"/>
    <x v="4"/>
    <x v="0"/>
    <x v="4"/>
    <x v="4"/>
    <x v="2"/>
    <x v="2"/>
    <x v="0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1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0"/>
    <x v="0"/>
  </r>
  <r>
    <x v="904"/>
    <x v="1"/>
    <x v="0"/>
    <x v="10"/>
    <x v="4"/>
    <x v="0"/>
    <x v="0"/>
    <x v="1"/>
    <x v="0"/>
    <x v="0"/>
    <x v="2"/>
    <x v="4"/>
    <x v="1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0"/>
    <x v="0"/>
  </r>
  <r>
    <x v="908"/>
    <x v="1"/>
    <x v="1"/>
    <x v="14"/>
    <x v="1"/>
    <x v="0"/>
    <x v="0"/>
    <x v="0"/>
    <x v="2"/>
    <x v="1"/>
    <x v="2"/>
    <x v="3"/>
    <x v="1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0"/>
    <x v="0"/>
  </r>
  <r>
    <x v="912"/>
    <x v="0"/>
    <x v="0"/>
    <x v="0"/>
    <x v="1"/>
    <x v="1"/>
    <x v="1"/>
    <x v="0"/>
    <x v="1"/>
    <x v="3"/>
    <x v="2"/>
    <x v="21"/>
    <x v="1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0"/>
    <x v="0"/>
  </r>
  <r>
    <x v="916"/>
    <x v="1"/>
    <x v="1"/>
    <x v="3"/>
    <x v="1"/>
    <x v="4"/>
    <x v="2"/>
    <x v="1"/>
    <x v="0"/>
    <x v="0"/>
    <x v="2"/>
    <x v="11"/>
    <x v="1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0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1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0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2"/>
    <x v="0"/>
  </r>
  <r>
    <x v="930"/>
    <x v="0"/>
    <x v="1"/>
    <x v="3"/>
    <x v="2"/>
    <x v="4"/>
    <x v="2"/>
    <x v="1"/>
    <x v="4"/>
    <x v="4"/>
    <x v="2"/>
    <x v="15"/>
    <x v="2"/>
    <x v="0"/>
  </r>
  <r>
    <x v="931"/>
    <x v="0"/>
    <x v="0"/>
    <x v="0"/>
    <x v="0"/>
    <x v="1"/>
    <x v="1"/>
    <x v="0"/>
    <x v="1"/>
    <x v="3"/>
    <x v="2"/>
    <x v="38"/>
    <x v="1"/>
    <x v="1"/>
  </r>
  <r>
    <x v="932"/>
    <x v="1"/>
    <x v="0"/>
    <x v="0"/>
    <x v="3"/>
    <x v="2"/>
    <x v="0"/>
    <x v="1"/>
    <x v="2"/>
    <x v="0"/>
    <x v="2"/>
    <x v="40"/>
    <x v="0"/>
    <x v="1"/>
  </r>
  <r>
    <x v="933"/>
    <x v="1"/>
    <x v="1"/>
    <x v="10"/>
    <x v="3"/>
    <x v="1"/>
    <x v="0"/>
    <x v="0"/>
    <x v="0"/>
    <x v="2"/>
    <x v="2"/>
    <x v="19"/>
    <x v="1"/>
    <x v="0"/>
  </r>
  <r>
    <x v="934"/>
    <x v="0"/>
    <x v="1"/>
    <x v="10"/>
    <x v="4"/>
    <x v="0"/>
    <x v="4"/>
    <x v="0"/>
    <x v="0"/>
    <x v="1"/>
    <x v="2"/>
    <x v="14"/>
    <x v="0"/>
    <x v="0"/>
  </r>
  <r>
    <x v="935"/>
    <x v="0"/>
    <x v="0"/>
    <x v="10"/>
    <x v="0"/>
    <x v="1"/>
    <x v="0"/>
    <x v="0"/>
    <x v="1"/>
    <x v="0"/>
    <x v="2"/>
    <x v="12"/>
    <x v="2"/>
    <x v="1"/>
  </r>
  <r>
    <x v="936"/>
    <x v="0"/>
    <x v="0"/>
    <x v="10"/>
    <x v="5"/>
    <x v="0"/>
    <x v="4"/>
    <x v="0"/>
    <x v="2"/>
    <x v="1"/>
    <x v="2"/>
    <x v="2"/>
    <x v="0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0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1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0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1"/>
    <x v="0"/>
  </r>
  <r>
    <x v="950"/>
    <x v="1"/>
    <x v="0"/>
    <x v="3"/>
    <x v="0"/>
    <x v="4"/>
    <x v="2"/>
    <x v="0"/>
    <x v="0"/>
    <x v="1"/>
    <x v="2"/>
    <x v="17"/>
    <x v="2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0"/>
    <x v="0"/>
  </r>
  <r>
    <x v="953"/>
    <x v="1"/>
    <x v="0"/>
    <x v="0"/>
    <x v="1"/>
    <x v="1"/>
    <x v="1"/>
    <x v="0"/>
    <x v="1"/>
    <x v="3"/>
    <x v="2"/>
    <x v="25"/>
    <x v="0"/>
    <x v="1"/>
  </r>
  <r>
    <x v="954"/>
    <x v="0"/>
    <x v="1"/>
    <x v="10"/>
    <x v="0"/>
    <x v="0"/>
    <x v="2"/>
    <x v="0"/>
    <x v="1"/>
    <x v="0"/>
    <x v="2"/>
    <x v="28"/>
    <x v="2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0"/>
    <x v="0"/>
  </r>
  <r>
    <x v="958"/>
    <x v="0"/>
    <x v="1"/>
    <x v="8"/>
    <x v="2"/>
    <x v="4"/>
    <x v="2"/>
    <x v="0"/>
    <x v="0"/>
    <x v="0"/>
    <x v="2"/>
    <x v="15"/>
    <x v="1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1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0"/>
    <x v="0"/>
  </r>
  <r>
    <x v="963"/>
    <x v="0"/>
    <x v="0"/>
    <x v="8"/>
    <x v="2"/>
    <x v="0"/>
    <x v="4"/>
    <x v="0"/>
    <x v="2"/>
    <x v="3"/>
    <x v="2"/>
    <x v="29"/>
    <x v="0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2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0"/>
    <x v="0"/>
  </r>
  <r>
    <x v="968"/>
    <x v="1"/>
    <x v="1"/>
    <x v="1"/>
    <x v="3"/>
    <x v="3"/>
    <x v="1"/>
    <x v="1"/>
    <x v="2"/>
    <x v="2"/>
    <x v="2"/>
    <x v="40"/>
    <x v="0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1"/>
    <x v="0"/>
  </r>
  <r>
    <x v="974"/>
    <x v="0"/>
    <x v="1"/>
    <x v="3"/>
    <x v="1"/>
    <x v="4"/>
    <x v="4"/>
    <x v="0"/>
    <x v="2"/>
    <x v="2"/>
    <x v="2"/>
    <x v="39"/>
    <x v="1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0"/>
    <x v="0"/>
  </r>
  <r>
    <x v="977"/>
    <x v="1"/>
    <x v="0"/>
    <x v="2"/>
    <x v="5"/>
    <x v="4"/>
    <x v="4"/>
    <x v="0"/>
    <x v="2"/>
    <x v="2"/>
    <x v="2"/>
    <x v="27"/>
    <x v="0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1"/>
    <x v="0"/>
  </r>
  <r>
    <x v="984"/>
    <x v="0"/>
    <x v="1"/>
    <x v="10"/>
    <x v="4"/>
    <x v="2"/>
    <x v="2"/>
    <x v="1"/>
    <x v="2"/>
    <x v="3"/>
    <x v="2"/>
    <x v="28"/>
    <x v="1"/>
    <x v="1"/>
  </r>
  <r>
    <x v="985"/>
    <x v="1"/>
    <x v="0"/>
    <x v="14"/>
    <x v="5"/>
    <x v="0"/>
    <x v="0"/>
    <x v="0"/>
    <x v="2"/>
    <x v="0"/>
    <x v="2"/>
    <x v="0"/>
    <x v="1"/>
    <x v="0"/>
  </r>
  <r>
    <x v="986"/>
    <x v="1"/>
    <x v="1"/>
    <x v="0"/>
    <x v="2"/>
    <x v="2"/>
    <x v="2"/>
    <x v="0"/>
    <x v="3"/>
    <x v="4"/>
    <x v="2"/>
    <x v="2"/>
    <x v="0"/>
    <x v="1"/>
  </r>
  <r>
    <x v="987"/>
    <x v="1"/>
    <x v="0"/>
    <x v="10"/>
    <x v="1"/>
    <x v="4"/>
    <x v="4"/>
    <x v="0"/>
    <x v="2"/>
    <x v="4"/>
    <x v="2"/>
    <x v="29"/>
    <x v="2"/>
    <x v="0"/>
  </r>
  <r>
    <x v="988"/>
    <x v="0"/>
    <x v="1"/>
    <x v="3"/>
    <x v="2"/>
    <x v="0"/>
    <x v="4"/>
    <x v="0"/>
    <x v="2"/>
    <x v="4"/>
    <x v="2"/>
    <x v="18"/>
    <x v="0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0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0"/>
    <x v="0"/>
  </r>
  <r>
    <x v="13"/>
    <x v="0"/>
    <x v="1"/>
    <x v="0"/>
    <x v="4"/>
    <x v="1"/>
    <x v="1"/>
    <x v="0"/>
    <x v="1"/>
    <x v="3"/>
    <x v="0"/>
    <x v="11"/>
    <x v="1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0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0"/>
    <x v="1"/>
  </r>
  <r>
    <x v="20"/>
    <x v="0"/>
    <x v="0"/>
    <x v="0"/>
    <x v="3"/>
    <x v="4"/>
    <x v="1"/>
    <x v="0"/>
    <x v="0"/>
    <x v="0"/>
    <x v="0"/>
    <x v="4"/>
    <x v="1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1"/>
    <x v="1"/>
  </r>
  <r>
    <x v="23"/>
    <x v="0"/>
    <x v="0"/>
    <x v="2"/>
    <x v="2"/>
    <x v="2"/>
    <x v="4"/>
    <x v="1"/>
    <x v="4"/>
    <x v="2"/>
    <x v="0"/>
    <x v="16"/>
    <x v="2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0"/>
    <x v="0"/>
  </r>
  <r>
    <x v="26"/>
    <x v="1"/>
    <x v="1"/>
    <x v="1"/>
    <x v="3"/>
    <x v="1"/>
    <x v="1"/>
    <x v="1"/>
    <x v="1"/>
    <x v="0"/>
    <x v="0"/>
    <x v="19"/>
    <x v="0"/>
    <x v="1"/>
  </r>
  <r>
    <x v="27"/>
    <x v="1"/>
    <x v="0"/>
    <x v="11"/>
    <x v="3"/>
    <x v="0"/>
    <x v="2"/>
    <x v="1"/>
    <x v="1"/>
    <x v="2"/>
    <x v="1"/>
    <x v="8"/>
    <x v="1"/>
    <x v="0"/>
  </r>
  <r>
    <x v="28"/>
    <x v="0"/>
    <x v="1"/>
    <x v="3"/>
    <x v="2"/>
    <x v="1"/>
    <x v="0"/>
    <x v="0"/>
    <x v="2"/>
    <x v="2"/>
    <x v="1"/>
    <x v="20"/>
    <x v="2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0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2"/>
    <x v="0"/>
  </r>
  <r>
    <x v="33"/>
    <x v="1"/>
    <x v="1"/>
    <x v="2"/>
    <x v="4"/>
    <x v="2"/>
    <x v="0"/>
    <x v="1"/>
    <x v="2"/>
    <x v="3"/>
    <x v="1"/>
    <x v="5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D5" firstHeaderRow="1" firstDataRow="2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8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10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  <format dxfId="7">
      <pivotArea collapsedLevelsAreSubtotals="1" fieldPosition="0"/>
    </format>
    <format dxfId="8">
      <pivotArea collapsedLevelsAreSubtotals="1" fieldPosition="0"/>
    </format>
    <format dxfId="9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9:D16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8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ortType="ascending" showAll="0">
      <items count="6">
        <item x="0"/>
        <item x="4"/>
        <item x="3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formats count="10">
    <format dxfId="10">
      <pivotArea collapsedLevelsAreSubtotals="1" fieldPosition="0"/>
    </format>
    <format dxfId="11">
      <pivotArea collapsedLevelsAreSubtotals="1" fieldPosition="0"/>
    </format>
    <format dxfId="12">
      <pivotArea collapsedLevelsAreSubtotals="1" fieldPosition="0"/>
    </format>
    <format dxfId="13">
      <pivotArea collapsedLevelsAreSubtotals="1" fieldPosition="0"/>
    </format>
    <format dxfId="14">
      <pivotArea collapsedLevelsAreSubtotals="1" fieldPosition="0"/>
    </format>
    <format dxfId="15">
      <pivotArea collapsedLevelsAreSubtotals="1" fieldPosition="0"/>
    </format>
    <format dxfId="16">
      <pivotArea collapsedLevelsAreSubtotals="1" fieldPosition="0"/>
    </format>
    <format dxfId="17">
      <pivotArea collapsedLevelsAreSubtotals="1" fieldPosition="0"/>
    </format>
    <format dxfId="18">
      <pivotArea collapsedLevelsAreSubtotals="1" fieldPosition="0"/>
    </format>
    <format dxfId="19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6:D31" firstHeaderRow="1" firstDataRow="2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8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compact="0" sortType="ascending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formats count="10">
    <format dxfId="20">
      <pivotArea collapsedLevelsAreSubtotals="1" fieldPosition="0"/>
    </format>
    <format dxfId="21">
      <pivotArea collapsedLevelsAreSubtotals="1" fieldPosition="0"/>
    </format>
    <format dxfId="22">
      <pivotArea collapsedLevelsAreSubtotals="1" fieldPosition="0"/>
    </format>
    <format dxfId="23">
      <pivotArea collapsedLevelsAreSubtotals="1" fieldPosition="0"/>
    </format>
    <format dxfId="24">
      <pivotArea collapsedLevelsAreSubtotals="1" fieldPosition="0"/>
    </format>
    <format dxfId="25">
      <pivotArea collapsedLevelsAreSubtotals="1" fieldPosition="0"/>
    </format>
    <format dxfId="26">
      <pivotArea collapsedLevelsAreSubtotals="1" fieldPosition="0"/>
    </format>
    <format dxfId="27">
      <pivotArea collapsedLevelsAreSubtotals="1" fieldPosition="0"/>
    </format>
    <format dxfId="28">
      <pivotArea collapsedLevelsAreSubtotals="1" fieldPosition="0"/>
    </format>
    <format dxfId="29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3"/>
    <pivotTable tabId="3" name="PivotTable1"/>
    <pivotTable tabId="3" name="PivotTable2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1"/>
    <pivotTable tabId="3" name="PivotTable2"/>
    <pivotTable tabId="3" name="PivotTable3"/>
  </pivotTables>
  <data>
    <tabular pivotCacheId="1">
      <items count="5">
        <i x="0" s="1"/>
        <i x="4" s="1"/>
        <i x="2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  <pivotTable tabId="3" name="PivotTable2"/>
    <pivotTable tabId="3" name="PivotTable3"/>
  </pivotTables>
  <data>
    <tabular pivotCacheId="1">
      <items count="3"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Education" cache="Slicer_Education" caption="Education" rowHeight="225425"/>
  <slicer name="Region" cache="Slicer_Region" caption="Reg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A1" sqref="A1:M1027"/>
    </sheetView>
  </sheetViews>
  <sheetFormatPr defaultColWidth="11.8857142857143" defaultRowHeight="15"/>
  <cols>
    <col min="13" max="13" width="15.438095238095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7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7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7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7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7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7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7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7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7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7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7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7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7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7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7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7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7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7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7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7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7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7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7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7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7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7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7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7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7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7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7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7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7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7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7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7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7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7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7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7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7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7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7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7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7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7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7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7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7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7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7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7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7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7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7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7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7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7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7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7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7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7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7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7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7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7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7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7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7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7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7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7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7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7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7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7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7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7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7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7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7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7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7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7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7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7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7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7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7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7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7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7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7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7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7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7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7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7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7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7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7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7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7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7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7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7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7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7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7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7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7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7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7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7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7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7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7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7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7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7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7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7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7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7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7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7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7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7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7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7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7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7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7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7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7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7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7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7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7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7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7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7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7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7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7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7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7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7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7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7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7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7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7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7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7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7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7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7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7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7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7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7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7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7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7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7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7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7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7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7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7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7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7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7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7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7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7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7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7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7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7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7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7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7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7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7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7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7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7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7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7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7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7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7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7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7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7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7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7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7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7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7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7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7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7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7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7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7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7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7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7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7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7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7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7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7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7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7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7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7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7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7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7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7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7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7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7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7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7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7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7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7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7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7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7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7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7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7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7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7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7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7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7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7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7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7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7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7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7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7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7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7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7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7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7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7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7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7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7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7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7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7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7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7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7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7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7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7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7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7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7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7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7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7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7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7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7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7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7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7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7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7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7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7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7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7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7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7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7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7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7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7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7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7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7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7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7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7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7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7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7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7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7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7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7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7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7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7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7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7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7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7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7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7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7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7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7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7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7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7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7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7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7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7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7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7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7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7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7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7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7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7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7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7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7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7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7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7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7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7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7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7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7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7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7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7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7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7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7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7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7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7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7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7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7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7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7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7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7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7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7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7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7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7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7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7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7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7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7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7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7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7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7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7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7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7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7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7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7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7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7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7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7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7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7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7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7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7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7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7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7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7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7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7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7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7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7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7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7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7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7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7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7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7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7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7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7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7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7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7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7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7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7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7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7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7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7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7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7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7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7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7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7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7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7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7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7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7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7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7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7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7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7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7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7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7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7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7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7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7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7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7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7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7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7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7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7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7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7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7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7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7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7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7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7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7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7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7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7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7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7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7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7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7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7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7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7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7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7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7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7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7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7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7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7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7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7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7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7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7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7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7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7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7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7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7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7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7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7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7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7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7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7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7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7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7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7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7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7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7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7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7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7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7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7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7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7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7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7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7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7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7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7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7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7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7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7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7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7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7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7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7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7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7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7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7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7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7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7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7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7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7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7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7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7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7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7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7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7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7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7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7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7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7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7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7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7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7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7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7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7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7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7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7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7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7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7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7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7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7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7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7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7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7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7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7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7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7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7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7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7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7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7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7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7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7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7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7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7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7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7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7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7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7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7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7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7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7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7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7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7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7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7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7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7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7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7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7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7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7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7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7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7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7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7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7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7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7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7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7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7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7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7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7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7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7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7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7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7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7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7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7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7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7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7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7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7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7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7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7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7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7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7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7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7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7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7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7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7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7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7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7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7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7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7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7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7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7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7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7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7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7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7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7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7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7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7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7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7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7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7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7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7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7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7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7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7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7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7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7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7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7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7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7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7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7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7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7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7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7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7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7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7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7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7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7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7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7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7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7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7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7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7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7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7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7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7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7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7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7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7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7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7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7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7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7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7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7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7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7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7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7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7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7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7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7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7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7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7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7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7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7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7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7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7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7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7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7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7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7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7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7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7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7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7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7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7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7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7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7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7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7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7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7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7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7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7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7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7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7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7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7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7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7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7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7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7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7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7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7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7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7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7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7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7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7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7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7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7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7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7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7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7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7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7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7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7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7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7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7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7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7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7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7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7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7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7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7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7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7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7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7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7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7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7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7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7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7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7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7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7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7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7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7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7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7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7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7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7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7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7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7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7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7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7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7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7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7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7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7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7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7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7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7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7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7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7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7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7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7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7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7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7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7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7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7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7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7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7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7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7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7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7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7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7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7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7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7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7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7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7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7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7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7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7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7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7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7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7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7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7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7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7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7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7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7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7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7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7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7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7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7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7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7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7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7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7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7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7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7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7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7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7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7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7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7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7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7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7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7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7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7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7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7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7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7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7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7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7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7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7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7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7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7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7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7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7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7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7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7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7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7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7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7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7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7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7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7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7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7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7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7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7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7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7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7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7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7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7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7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7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7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7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7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7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7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7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7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7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7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7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7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7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7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7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7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7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7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7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7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7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7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7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7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7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7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7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7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7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7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7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7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7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7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7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7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7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7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7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7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7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7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7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7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7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7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7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7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7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7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7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7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7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7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7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7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7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7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7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7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7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7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7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7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7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7">
        <v>60000</v>
      </c>
      <c r="E997" s="6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7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7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7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7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7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7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7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7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7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7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7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7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7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7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7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7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7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7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7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7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7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7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7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7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7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7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7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7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7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7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7"/>
  <sheetViews>
    <sheetView workbookViewId="0">
      <selection activeCell="M2" sqref="M2"/>
    </sheetView>
  </sheetViews>
  <sheetFormatPr defaultColWidth="9.14285714285714" defaultRowHeight="15"/>
  <cols>
    <col min="1" max="1" width="9.42857142857143" customWidth="1"/>
    <col min="2" max="2" width="17.5714285714286" customWidth="1"/>
    <col min="3" max="3" width="12.8571428571429" customWidth="1"/>
    <col min="4" max="4" width="11.8571428571429" style="5" customWidth="1"/>
    <col min="5" max="5" width="11.8571428571429" customWidth="1"/>
    <col min="6" max="6" width="19" customWidth="1"/>
    <col min="7" max="7" width="15.1428571428571" customWidth="1"/>
    <col min="8" max="8" width="15.5714285714286" customWidth="1"/>
    <col min="9" max="9" width="7.85714285714286" customWidth="1"/>
    <col min="10" max="10" width="20.8571428571429" customWidth="1"/>
    <col min="11" max="11" width="15" customWidth="1"/>
    <col min="12" max="12" width="10.5714285714286" customWidth="1"/>
    <col min="13" max="13" width="17.8571428571429" customWidth="1"/>
    <col min="14" max="14" width="18.2857142857143" customWidth="1"/>
  </cols>
  <sheetData>
    <row r="1" spans="1:14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5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IF(L5&gt;55,"Old",IF(L5&gt;=31,"Middle Age",IF(L5&lt;31,"Adolecent","Invalid")))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5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IF(L6&gt;55,"Old",IF(L6&gt;=31,"Middle Age",IF(L6&lt;31,"Adolecent","Invalid")))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5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Middle Age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5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5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5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Old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5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5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5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Middle Age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5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5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5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5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Middle Age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5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Old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5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5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5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Middle Age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5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5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5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Middle Age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5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Old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5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5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Old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5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Adolecent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5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5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Middle Age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5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Middle Age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5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Old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5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Adolecent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5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5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Middle Age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5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Old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5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5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5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Adolecent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5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Adolecent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5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5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Middle Age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5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Old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5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5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5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Middle Age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5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Old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5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5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5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Middle Age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5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5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Adolecent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5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5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Old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5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Old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5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5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Middle Age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5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Middle Age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5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Old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5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5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5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Middle Age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5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5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5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5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5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Old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5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5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5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IF(L70&gt;55,"Old",IF(L70&gt;=31,"Middle Age",IF(L70&lt;31,"Adolecent","Invalid")))</f>
        <v>Middle Age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5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Adolecent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5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5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5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Middle Age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5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5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Old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5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5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Adolecent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5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Adolecent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5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5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Old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5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tr">
        <f t="shared" si="1"/>
        <v>Middle Age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5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5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Middle Age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5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Adolecent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5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5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Adolecent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5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Middle Age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5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5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5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5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Adolecent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5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5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5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Middle Age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5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Middle Age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5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Old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5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5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Middle Age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5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tr">
        <f t="shared" si="1"/>
        <v>Adolecent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5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5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5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Middle Age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5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5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5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5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Adolecent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5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5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5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Middle Age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5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5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5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5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5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5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Adolecent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5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Adolecent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5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5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Middle Age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5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Old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5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Adolecent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5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Old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5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Middle Age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5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Middle Age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5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5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5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5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Middle Age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5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5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5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5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5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Old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5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IF(L134&gt;55,"Old",IF(L134&gt;=31,"Middle Age",IF(L134&lt;31,"Adolecent","Invalid")))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5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Old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5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Middle Age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5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5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Middle Age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5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5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5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Old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5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5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Adolecent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5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Middle Age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5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5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Middle Age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5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5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5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5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Old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5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Adolecent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5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5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Middle Age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5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Middle Age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5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5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5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5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Old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5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5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5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Middle Age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5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5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5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5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5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Adolecent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5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Adolecent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5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5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Middle Age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5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Middle Age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5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5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tr">
        <f t="shared" si="2"/>
        <v>Old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5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Old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5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5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Adolecent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5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Middle Age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5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5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5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5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5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Middle Age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5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5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tr">
        <f t="shared" si="2"/>
        <v>Middle Age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5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5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Old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5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5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5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5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5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5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Middle Age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5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tr">
        <f t="shared" si="2"/>
        <v>Middle Age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5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5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Old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5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Middle Age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5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5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tr">
        <f t="shared" si="2"/>
        <v>Adolecent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5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tr">
        <f t="shared" ref="M195:M258" si="3">IF(L198&gt;55,"Old",IF(L198&gt;=31,"Middle Age",IF(L198&lt;31,"Adolecent","Invalid")))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5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Old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5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Middle Age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5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5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Middle Age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5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Adolecent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5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5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5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Middle Age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5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5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Old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5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Adolecent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5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5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tr">
        <f t="shared" si="3"/>
        <v>Middle Age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5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Middle Age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5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5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Adolecent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5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5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Old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5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Middle Age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5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5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Adolecent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5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5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Adolecent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5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Middle Age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5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5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Middle Age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5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5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Old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5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5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5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Middle Age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5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5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Old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5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Old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5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5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tr">
        <f t="shared" si="3"/>
        <v>Middle Age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5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tr">
        <f t="shared" si="3"/>
        <v>Adolecent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5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5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Old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5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Middle Age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5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tr">
        <f t="shared" si="3"/>
        <v>Adolecent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5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Middle Age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5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5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Middle Age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5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Adolecent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5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5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Adolecent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5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Middle Age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5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5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Middle Age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5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5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Old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5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5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tr">
        <f t="shared" si="3"/>
        <v>Old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5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Middle Age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5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5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5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5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5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tr">
        <f t="shared" si="3"/>
        <v>Middle Age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5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Middle Age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5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Old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5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5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IF(L262&gt;55,"Old",IF(L262&gt;=31,"Middle Age",IF(L262&lt;31,"Adolecent","Invalid")))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5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tr">
        <f t="shared" si="4"/>
        <v>Middle Age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5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5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5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5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5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tr">
        <f t="shared" si="4"/>
        <v>Adolecent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5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5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5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Middle Age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5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5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Adolecent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5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5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Adolecent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5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Middle Age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5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5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Middle Age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5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5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5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5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5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5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5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5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5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5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5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5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5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5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5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5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5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5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5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5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5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5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5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Old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5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Old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5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Adolecent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5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5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Middle Age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5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Middle Age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5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5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5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Old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5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Middle Age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5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5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Middle Age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5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5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Old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5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5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5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Middle Age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5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Old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5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5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5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Middle Age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5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5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5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5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5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IF(L326&gt;55,"Old",IF(L326&gt;=31,"Middle Age",IF(L326&lt;31,"Adolecent","Invalid")))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5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5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Adolecent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5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5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5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Old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5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5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Adolecent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5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tr">
        <f t="shared" si="5"/>
        <v>Middle Age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5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5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Middle Age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5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5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5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5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5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Old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5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Adolecent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5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5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Middle Age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5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Middle Age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5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5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5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5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5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5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Adolecent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5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Adolecent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5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5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Middle Age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5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Middle Age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5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5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5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5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5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tr">
        <f t="shared" si="5"/>
        <v>Old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5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Adolecent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5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5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Adolecent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5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tr">
        <f t="shared" si="5"/>
        <v>Middle Age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5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Old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5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Middle Age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5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5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Middle Age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5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5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Old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5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5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5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Middle Age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5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5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tr">
        <f t="shared" si="5"/>
        <v>Adolecent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5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5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Old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5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Old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5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5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5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Middle Age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5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Adolecent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5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5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5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tr">
        <f t="shared" si="5"/>
        <v>Middle Age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5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Adolecent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5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5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5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Middle Age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5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IF(L390&gt;55,"Old",IF(L390&gt;=31,"Middle Age",IF(L390&lt;31,"Adolecent","Invalid")))</f>
        <v>Old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5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5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5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Middle Age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5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5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5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5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5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5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Old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5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5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5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Middle Age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5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Old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5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5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5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Middle Age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5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5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5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5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5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5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5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5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5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Old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5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5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5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Middle Age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5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Old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5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5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5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5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5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5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tr">
        <f t="shared" si="6"/>
        <v>Middle Age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5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5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tr">
        <f t="shared" si="6"/>
        <v>Old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5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Adolecent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5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5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Middle Age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5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Middle Age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5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5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Adolecent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5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5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Adolecent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5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Middle Age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5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tr">
        <f t="shared" si="6"/>
        <v>Old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5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Middle Age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5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Adolecent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5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Middle Age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5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5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Middle Age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5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5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5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5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5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5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5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5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5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5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5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5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IF(L454&gt;55,"Old",IF(L454&gt;=31,"Middle Age",IF(L454&lt;31,"Adolecent","Invalid")))</f>
        <v>Old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5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5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5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Middle Age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5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5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Old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5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5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5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Middle Age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5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5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5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5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5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Old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5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5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5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Middle Age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5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Old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5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Adolecent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5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5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Middle Age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5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Middle Age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5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5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Old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5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5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5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Middle Age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5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5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5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5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5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Old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5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5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5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5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5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5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tr">
        <f t="shared" si="7"/>
        <v>Middle Age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5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5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5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5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Old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5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5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Old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5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tr">
        <f t="shared" si="7"/>
        <v>Middle Age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5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5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tr">
        <f t="shared" si="7"/>
        <v>Middle Age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5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5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5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5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Adolecent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5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5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5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Middle Age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5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5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5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Adolecent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5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5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5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Old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5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5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Old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5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Middle Age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5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5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tr">
        <f t="shared" ref="M515:M578" si="8">IF(L518&gt;55,"Old",IF(L518&gt;=31,"Middle Age",IF(L518&lt;31,"Adolecent","Invalid")))</f>
        <v>Middle Age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5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5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5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Old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5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5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Old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5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Middle Age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5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5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5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Old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5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5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Middle Age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5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tr">
        <f t="shared" si="8"/>
        <v>Adolecent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5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Old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5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Adolecent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5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5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tr">
        <f t="shared" si="8"/>
        <v>Middle Age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5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Old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5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Old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5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5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tr">
        <f t="shared" si="8"/>
        <v>Middle Age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5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tr">
        <f t="shared" si="8"/>
        <v>Middle Age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5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5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5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5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5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Adolecent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5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5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5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5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5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5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Middle Age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5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5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Middle Age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5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Old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5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5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Old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5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tr">
        <f t="shared" si="8"/>
        <v>Middle Age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5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5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Middle Age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5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5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5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Old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5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5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5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tr">
        <f t="shared" si="8"/>
        <v>Middle Age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5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Adolecent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5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Adolecent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5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5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Old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5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Middle Age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5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5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5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5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5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tr">
        <f t="shared" si="8"/>
        <v>Adolecent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5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Old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5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Middle Age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5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Old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5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Middle Age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5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5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5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5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IF(L582&gt;55,"Old",IF(L582&gt;=31,"Middle Age",IF(L582&lt;31,"Adolecent","Invalid")))</f>
        <v>Old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5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Adolecent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5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5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5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Middle Age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5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5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tr">
        <f t="shared" si="9"/>
        <v>Middle Age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5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5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5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Old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5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5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tr">
        <f t="shared" si="9"/>
        <v>Old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5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tr">
        <f t="shared" si="9"/>
        <v>Middle Age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5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5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5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Old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5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5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5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Middle Age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5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Old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5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Middle Age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5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5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Middle Age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5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5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Adolecent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5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5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5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Middle Age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5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5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5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5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5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Adolecent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5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5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5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Middle Age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5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5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5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5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Adolecent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5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5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Old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5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Middle Age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5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5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Adolecent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5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Old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5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Adolecent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5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Old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5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Middle Age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5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Middle Age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5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Adolecent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5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5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5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Middle Age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5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Old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5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5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5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Adolecent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5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Old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5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Old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5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Old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5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5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Middle Age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5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Middle Age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5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tr">
        <f t="shared" ref="M643:M706" si="10">IF(L646&gt;55,"Old",IF(L646&gt;=31,"Middle Age",IF(L646&lt;31,"Adolecent","Invalid")))</f>
        <v>Middle Age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5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5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5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5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Old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5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5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Old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5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Middle Age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5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5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tr">
        <f t="shared" si="10"/>
        <v>Middle Age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5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5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5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5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5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5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Old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5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5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Adolecent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5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tr">
        <f t="shared" si="10"/>
        <v>Middle Age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5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5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Middle Age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5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5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5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Old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5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5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5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5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5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Adolecent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5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tr">
        <f t="shared" si="10"/>
        <v>Middle Age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5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5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Middle Age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5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5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5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Old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5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Old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5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5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Middle Age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5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tr">
        <f t="shared" si="10"/>
        <v>Middle Age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5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5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5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5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5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Adolecent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5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Adolecent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5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Adolecent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5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Middle Age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5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Middle Age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5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Middle Age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5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5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5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5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Adolecent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5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Adolecent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5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5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Middle Age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5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Old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5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Adolecent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5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5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Middle Age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5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Middle Age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5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Old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5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5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5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tr">
        <f t="shared" ref="M707:M770" si="11">IF(L710&gt;55,"Old",IF(L710&gt;=31,"Middle Age",IF(L710&lt;31,"Adolecent","Invalid")))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5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Old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5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5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5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5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5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tr">
        <f t="shared" si="11"/>
        <v>Adolecent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5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Middle Age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5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5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Middle Age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5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5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5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Old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5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5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5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Middle Age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5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5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5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5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5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Adolecent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5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5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5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Middle Age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5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5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5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5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Adolecent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5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5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5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Middle Age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5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5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Adolecent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5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5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tr">
        <f t="shared" si="11"/>
        <v>Adolecent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5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Middle Age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5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Old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5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Middle Age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5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Old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5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tr">
        <f t="shared" si="11"/>
        <v>Middle Age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5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Old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5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5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5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Middle Age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5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Middle Age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5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Adolecent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5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Old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5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5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Middle Age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5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Middle Age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5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5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5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5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Old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5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5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5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tr">
        <f t="shared" si="11"/>
        <v>Adolecent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5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5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5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Old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5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5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5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Middle Age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5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5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IF(L774&gt;55,"Old",IF(L774&gt;=31,"Middle Age",IF(L774&lt;31,"Adolecent","Invalid")))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5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Middle Age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5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5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5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Old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5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Adolecent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5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5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Middle Age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5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Middle Age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5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5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5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tr">
        <f t="shared" si="12"/>
        <v>Middle Age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5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5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Adolecent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5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5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Old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5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Middle Age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5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5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Middle Age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5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Adolecent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5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5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5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Old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5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5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Old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5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Adolecent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5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Adolecent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5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Middle Age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5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Middle Age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5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Old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5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Adolecent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5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Adolecent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5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Adolecent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5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Middle Age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5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Middle Age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5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Middle Age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5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5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Old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5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5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5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5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5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Old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5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tr">
        <f t="shared" si="12"/>
        <v>Adolecent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5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5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Middle Age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5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5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Adolecent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5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5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Middle Age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5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Middle Age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5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5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5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5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5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5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Adolecent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5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Old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5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5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Middle Age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5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Middle Age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5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5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5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5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IF(L838&gt;55,"Old",IF(L838&gt;=31,"Middle Age",IF(L838&lt;31,"Adolecent","Invalid")))</f>
        <v>Adolecent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5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5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5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Middle Age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5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5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Old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5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5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5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5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5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Old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5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tr">
        <f t="shared" si="13"/>
        <v>Adolecent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5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5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5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Old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5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5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Middle Age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5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Middle Age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5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5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5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Adolecent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5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5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5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Middle Age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5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5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5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5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5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5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5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5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5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Old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5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tr">
        <f t="shared" si="13"/>
        <v>Middle Age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5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5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tr">
        <f t="shared" si="13"/>
        <v>Middle Age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5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5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5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tr">
        <f t="shared" si="13"/>
        <v>Middle Age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5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5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Adolecent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5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Old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5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Old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5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Middle Age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5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Middle Age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5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5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5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5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5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5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5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Middle Age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5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5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5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5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Old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5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5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5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Middle Age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5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Old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5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5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Adolecent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5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5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5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IF(L902&gt;55,"Old",IF(L902&gt;=31,"Middle Age",IF(L902&lt;31,"Adolecent","Invalid")))</f>
        <v>Middle Age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5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tr">
        <f t="shared" si="14"/>
        <v>Middle Age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5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5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Old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5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5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5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Middle Age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5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Old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5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5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5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tr">
        <f t="shared" si="14"/>
        <v>Middle Age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5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Old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5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5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5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Middle Age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5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Old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5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5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5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tr">
        <f t="shared" si="14"/>
        <v>Middle Age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5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Old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5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5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5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tr">
        <f t="shared" si="14"/>
        <v>Middle Age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5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5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5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5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Old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5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5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5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tr">
        <f t="shared" si="14"/>
        <v>Middle Age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5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5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5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Adolecent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5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tr">
        <f t="shared" si="14"/>
        <v>Adolecent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5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Old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5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Middle Age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5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Old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5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Middle Age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5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Adolecent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5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Middle Age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5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5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Middle Age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5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5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5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5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5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Old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5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5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5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Middle Age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5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5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5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tr">
        <f t="shared" si="14"/>
        <v>Old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5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Adolecent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5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5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Middle Age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5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Middle Age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5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Adolecent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5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5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5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Middle Age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5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Old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5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5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Old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5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26" si="15">IF(L966&gt;55,"Old",IF(L966&gt;=31,"Middle Age",IF(L966&lt;31,"Adolecent","Invalid")))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5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tr">
        <f t="shared" si="15"/>
        <v>Middle Age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5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Middle Age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5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5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Adolecent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5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5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Middle Age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5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Middle Age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5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5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5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5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5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Old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5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Old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5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5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tr">
        <f t="shared" si="15"/>
        <v>Middle Age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5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Middle Age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5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5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5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5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5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5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Old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5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Old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5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Old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5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tr">
        <f t="shared" si="15"/>
        <v>Middle Age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5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tr">
        <f t="shared" si="15"/>
        <v>Adolecent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5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tr">
        <f t="shared" si="15"/>
        <v>Middle Age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5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5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Middle Age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5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5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5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5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5">
        <v>60000</v>
      </c>
      <c r="E997" s="6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5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5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5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5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  <row r="1002" spans="1:14">
      <c r="A1002">
        <v>13507</v>
      </c>
      <c r="B1002" t="s">
        <v>37</v>
      </c>
      <c r="C1002" t="s">
        <v>38</v>
      </c>
      <c r="D1002" s="5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tr">
        <f t="shared" si="15"/>
        <v>Middle Age</v>
      </c>
      <c r="N1002" t="s">
        <v>20</v>
      </c>
    </row>
    <row r="1003" spans="1:14">
      <c r="A1003">
        <v>19280</v>
      </c>
      <c r="B1003" t="s">
        <v>37</v>
      </c>
      <c r="C1003" t="s">
        <v>39</v>
      </c>
      <c r="D1003" s="5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tr">
        <f t="shared" si="15"/>
        <v>Middle Age</v>
      </c>
      <c r="N1003" t="s">
        <v>17</v>
      </c>
    </row>
    <row r="1004" spans="1:14">
      <c r="A1004">
        <v>22173</v>
      </c>
      <c r="B1004" t="s">
        <v>37</v>
      </c>
      <c r="C1004" t="s">
        <v>38</v>
      </c>
      <c r="D1004" s="5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tr">
        <f t="shared" si="15"/>
        <v>Middle Age</v>
      </c>
      <c r="N1004" t="s">
        <v>17</v>
      </c>
    </row>
    <row r="1005" spans="1:14">
      <c r="A1005">
        <v>12697</v>
      </c>
      <c r="B1005" t="s">
        <v>40</v>
      </c>
      <c r="C1005" t="s">
        <v>38</v>
      </c>
      <c r="D1005" s="5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tr">
        <f t="shared" si="15"/>
        <v>Middle Age</v>
      </c>
      <c r="N1005" t="s">
        <v>20</v>
      </c>
    </row>
    <row r="1006" spans="1:14">
      <c r="A1006">
        <v>11434</v>
      </c>
      <c r="B1006" t="s">
        <v>37</v>
      </c>
      <c r="C1006" t="s">
        <v>39</v>
      </c>
      <c r="D1006" s="5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tr">
        <f t="shared" si="15"/>
        <v>Middle Age</v>
      </c>
      <c r="N1006" t="s">
        <v>20</v>
      </c>
    </row>
    <row r="1007" spans="1:14">
      <c r="A1007">
        <v>25323</v>
      </c>
      <c r="B1007" t="s">
        <v>37</v>
      </c>
      <c r="C1007" t="s">
        <v>39</v>
      </c>
      <c r="D1007" s="5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tr">
        <f t="shared" si="15"/>
        <v>Old</v>
      </c>
      <c r="N1007" t="s">
        <v>17</v>
      </c>
    </row>
    <row r="1008" spans="1:14">
      <c r="A1008">
        <v>23542</v>
      </c>
      <c r="B1008" t="s">
        <v>40</v>
      </c>
      <c r="C1008" t="s">
        <v>39</v>
      </c>
      <c r="D1008" s="5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tr">
        <f t="shared" si="15"/>
        <v>Middle Age</v>
      </c>
      <c r="N1008" t="s">
        <v>17</v>
      </c>
    </row>
    <row r="1009" spans="1:14">
      <c r="A1009">
        <v>20870</v>
      </c>
      <c r="B1009" t="s">
        <v>40</v>
      </c>
      <c r="C1009" t="s">
        <v>38</v>
      </c>
      <c r="D1009" s="5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tr">
        <f t="shared" si="15"/>
        <v>Middle Age</v>
      </c>
      <c r="N1009" t="s">
        <v>17</v>
      </c>
    </row>
    <row r="1010" spans="1:14">
      <c r="A1010">
        <v>23316</v>
      </c>
      <c r="B1010" t="s">
        <v>40</v>
      </c>
      <c r="C1010" t="s">
        <v>39</v>
      </c>
      <c r="D1010" s="5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tr">
        <f t="shared" si="15"/>
        <v>Middle Age</v>
      </c>
      <c r="N1010" t="s">
        <v>17</v>
      </c>
    </row>
    <row r="1011" spans="1:14">
      <c r="A1011">
        <v>12610</v>
      </c>
      <c r="B1011" t="s">
        <v>37</v>
      </c>
      <c r="C1011" t="s">
        <v>38</v>
      </c>
      <c r="D1011" s="5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tr">
        <f t="shared" si="15"/>
        <v>Middle Age</v>
      </c>
      <c r="N1011" t="s">
        <v>20</v>
      </c>
    </row>
    <row r="1012" spans="1:14">
      <c r="A1012">
        <v>27183</v>
      </c>
      <c r="B1012" t="s">
        <v>40</v>
      </c>
      <c r="C1012" t="s">
        <v>39</v>
      </c>
      <c r="D1012" s="5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tr">
        <f t="shared" si="15"/>
        <v>Middle Age</v>
      </c>
      <c r="N1012" t="s">
        <v>17</v>
      </c>
    </row>
    <row r="1013" spans="1:14">
      <c r="A1013">
        <v>25940</v>
      </c>
      <c r="B1013" t="s">
        <v>40</v>
      </c>
      <c r="C1013" t="s">
        <v>39</v>
      </c>
      <c r="D1013" s="5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tr">
        <f t="shared" si="15"/>
        <v>Middle Age</v>
      </c>
      <c r="N1013" t="s">
        <v>17</v>
      </c>
    </row>
    <row r="1014" spans="1:14">
      <c r="A1014">
        <v>25598</v>
      </c>
      <c r="B1014" t="s">
        <v>37</v>
      </c>
      <c r="C1014" t="s">
        <v>38</v>
      </c>
      <c r="D1014" s="5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tr">
        <f t="shared" si="15"/>
        <v>Old</v>
      </c>
      <c r="N1014" t="s">
        <v>17</v>
      </c>
    </row>
    <row r="1015" spans="1:14">
      <c r="A1015">
        <v>21564</v>
      </c>
      <c r="B1015" t="s">
        <v>40</v>
      </c>
      <c r="C1015" t="s">
        <v>38</v>
      </c>
      <c r="D1015" s="5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tr">
        <f t="shared" si="15"/>
        <v>Middle Age</v>
      </c>
      <c r="N1015" t="s">
        <v>20</v>
      </c>
    </row>
    <row r="1016" spans="1:14">
      <c r="A1016">
        <v>19193</v>
      </c>
      <c r="B1016" t="s">
        <v>40</v>
      </c>
      <c r="C1016" t="s">
        <v>39</v>
      </c>
      <c r="D1016" s="5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tr">
        <f t="shared" si="15"/>
        <v>Old</v>
      </c>
      <c r="N1016" t="s">
        <v>17</v>
      </c>
    </row>
    <row r="1017" spans="1:14">
      <c r="A1017">
        <v>26412</v>
      </c>
      <c r="B1017" t="s">
        <v>37</v>
      </c>
      <c r="C1017" t="s">
        <v>38</v>
      </c>
      <c r="D1017" s="5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tr">
        <f t="shared" si="15"/>
        <v>Adolecent</v>
      </c>
      <c r="N1017" t="s">
        <v>20</v>
      </c>
    </row>
    <row r="1018" spans="1:14">
      <c r="A1018">
        <v>27184</v>
      </c>
      <c r="B1018" t="s">
        <v>40</v>
      </c>
      <c r="C1018" t="s">
        <v>39</v>
      </c>
      <c r="D1018" s="5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tr">
        <f t="shared" si="15"/>
        <v>Middle Age</v>
      </c>
      <c r="N1018" t="s">
        <v>20</v>
      </c>
    </row>
    <row r="1019" spans="1:14">
      <c r="A1019">
        <v>12590</v>
      </c>
      <c r="B1019" t="s">
        <v>40</v>
      </c>
      <c r="C1019" t="s">
        <v>39</v>
      </c>
      <c r="D1019" s="5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tr">
        <f t="shared" si="15"/>
        <v>Middle Age</v>
      </c>
      <c r="N1019" t="s">
        <v>20</v>
      </c>
    </row>
    <row r="1020" spans="1:14">
      <c r="A1020">
        <v>17841</v>
      </c>
      <c r="B1020" t="s">
        <v>40</v>
      </c>
      <c r="C1020" t="s">
        <v>39</v>
      </c>
      <c r="D1020" s="5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tr">
        <f t="shared" si="15"/>
        <v>Middle Age</v>
      </c>
      <c r="N1020" t="s">
        <v>17</v>
      </c>
    </row>
    <row r="1021" spans="1:14">
      <c r="A1021">
        <v>18283</v>
      </c>
      <c r="B1021" t="s">
        <v>40</v>
      </c>
      <c r="C1021" t="s">
        <v>38</v>
      </c>
      <c r="D1021" s="5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tr">
        <f t="shared" si="15"/>
        <v>Old</v>
      </c>
      <c r="N1021" t="s">
        <v>20</v>
      </c>
    </row>
    <row r="1022" spans="1:14">
      <c r="A1022">
        <v>18299</v>
      </c>
      <c r="B1022" t="s">
        <v>37</v>
      </c>
      <c r="C1022" t="s">
        <v>39</v>
      </c>
      <c r="D1022" s="5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tr">
        <f t="shared" si="15"/>
        <v>Adolecent</v>
      </c>
      <c r="N1022" t="s">
        <v>20</v>
      </c>
    </row>
    <row r="1023" spans="1:14">
      <c r="A1023">
        <v>16466</v>
      </c>
      <c r="B1023" t="s">
        <v>40</v>
      </c>
      <c r="C1023" t="s">
        <v>38</v>
      </c>
      <c r="D1023" s="5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tr">
        <f t="shared" si="15"/>
        <v>Middle Age</v>
      </c>
      <c r="N1023" t="s">
        <v>17</v>
      </c>
    </row>
    <row r="1024" spans="1:14">
      <c r="A1024">
        <v>19273</v>
      </c>
      <c r="B1024" t="s">
        <v>37</v>
      </c>
      <c r="C1024" t="s">
        <v>38</v>
      </c>
      <c r="D1024" s="5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tr">
        <f t="shared" si="15"/>
        <v>Middle Age</v>
      </c>
      <c r="N1024" t="s">
        <v>20</v>
      </c>
    </row>
    <row r="1025" spans="1:14">
      <c r="A1025">
        <v>22400</v>
      </c>
      <c r="B1025" t="s">
        <v>37</v>
      </c>
      <c r="C1025" t="s">
        <v>39</v>
      </c>
      <c r="D1025" s="5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tr">
        <f t="shared" si="15"/>
        <v>Adolecent</v>
      </c>
      <c r="N1025" t="s">
        <v>17</v>
      </c>
    </row>
    <row r="1026" spans="1:14">
      <c r="A1026">
        <v>20942</v>
      </c>
      <c r="B1026" t="s">
        <v>40</v>
      </c>
      <c r="C1026" t="s">
        <v>38</v>
      </c>
      <c r="D1026" s="5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tr">
        <f t="shared" si="15"/>
        <v>Adolecent</v>
      </c>
      <c r="N1026" t="s">
        <v>20</v>
      </c>
    </row>
    <row r="1027" spans="1:14">
      <c r="A1027">
        <v>18484</v>
      </c>
      <c r="B1027" t="s">
        <v>40</v>
      </c>
      <c r="C1027" t="s">
        <v>39</v>
      </c>
      <c r="D1027" s="5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tr">
        <f>IF(L1030&gt;55,"Old",IF(L1030&gt;=31,"Middle Age",IF(L1030&lt;31,"Adolecent","Invalid")))</f>
        <v>Adolecent</v>
      </c>
      <c r="N1027" t="s">
        <v>17</v>
      </c>
    </row>
  </sheetData>
  <autoFilter xmlns:etc="http://www.wps.cn/officeDocument/2017/etCustomData" ref="A1:N102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N22" sqref="N22"/>
    </sheetView>
  </sheetViews>
  <sheetFormatPr defaultColWidth="9.14285714285714" defaultRowHeight="15" outlineLevelCol="3"/>
  <cols>
    <col min="1" max="1" width="24.5714285714286"/>
    <col min="2" max="3" width="17.5714285714286"/>
    <col min="4" max="4" width="11.8571428571429"/>
  </cols>
  <sheetData>
    <row r="1" spans="1:2">
      <c r="A1" t="s">
        <v>41</v>
      </c>
      <c r="B1" t="s">
        <v>12</v>
      </c>
    </row>
    <row r="2" spans="1:4">
      <c r="A2" t="s">
        <v>2</v>
      </c>
      <c r="B2" t="s">
        <v>20</v>
      </c>
      <c r="C2" t="s">
        <v>17</v>
      </c>
      <c r="D2" t="s">
        <v>42</v>
      </c>
    </row>
    <row r="3" spans="1:4">
      <c r="A3" t="s">
        <v>38</v>
      </c>
      <c r="B3" s="4">
        <v>53449.6124031008</v>
      </c>
      <c r="C3" s="4">
        <v>55267.4897119342</v>
      </c>
      <c r="D3" s="4">
        <v>54331.3373253493</v>
      </c>
    </row>
    <row r="4" spans="1:4">
      <c r="A4" t="s">
        <v>39</v>
      </c>
      <c r="B4" s="4">
        <v>56520.1465201465</v>
      </c>
      <c r="C4" s="4">
        <v>59603.1746031746</v>
      </c>
      <c r="D4" s="4">
        <v>58000</v>
      </c>
    </row>
    <row r="5" spans="1:4">
      <c r="A5" t="s">
        <v>42</v>
      </c>
      <c r="B5" s="4">
        <v>55028.2485875706</v>
      </c>
      <c r="C5" s="4">
        <v>57474.7474747475</v>
      </c>
      <c r="D5" s="4">
        <v>56208.5769980507</v>
      </c>
    </row>
    <row r="9" spans="1:2">
      <c r="A9" t="s">
        <v>43</v>
      </c>
      <c r="B9" t="s">
        <v>12</v>
      </c>
    </row>
    <row r="10" spans="1:4">
      <c r="A10" t="s">
        <v>9</v>
      </c>
      <c r="B10" t="s">
        <v>20</v>
      </c>
      <c r="C10" t="s">
        <v>17</v>
      </c>
      <c r="D10" t="s">
        <v>42</v>
      </c>
    </row>
    <row r="11" spans="1:4">
      <c r="A11" t="s">
        <v>18</v>
      </c>
      <c r="B11" s="4">
        <v>171</v>
      </c>
      <c r="C11" s="4">
        <v>207</v>
      </c>
      <c r="D11" s="4">
        <v>378</v>
      </c>
    </row>
    <row r="12" spans="1:4">
      <c r="A12" t="s">
        <v>33</v>
      </c>
      <c r="B12" s="4">
        <v>80</v>
      </c>
      <c r="C12" s="4">
        <v>33</v>
      </c>
      <c r="D12" s="4">
        <v>113</v>
      </c>
    </row>
    <row r="13" spans="1:4">
      <c r="A13" t="s">
        <v>29</v>
      </c>
      <c r="B13" s="4">
        <v>93</v>
      </c>
      <c r="C13" s="4">
        <v>83</v>
      </c>
      <c r="D13" s="4">
        <v>176</v>
      </c>
    </row>
    <row r="14" spans="1:4">
      <c r="A14" t="s">
        <v>24</v>
      </c>
      <c r="B14" s="4">
        <v>67</v>
      </c>
      <c r="C14" s="4">
        <v>95</v>
      </c>
      <c r="D14" s="4">
        <v>162</v>
      </c>
    </row>
    <row r="15" spans="1:4">
      <c r="A15" t="s">
        <v>26</v>
      </c>
      <c r="B15" s="4">
        <v>120</v>
      </c>
      <c r="C15" s="4">
        <v>77</v>
      </c>
      <c r="D15" s="4">
        <v>197</v>
      </c>
    </row>
    <row r="16" spans="1:4">
      <c r="A16" t="s">
        <v>42</v>
      </c>
      <c r="B16" s="4">
        <v>531</v>
      </c>
      <c r="C16" s="4">
        <v>495</v>
      </c>
      <c r="D16" s="4">
        <v>1026</v>
      </c>
    </row>
    <row r="26" spans="1:2">
      <c r="A26" t="s">
        <v>43</v>
      </c>
      <c r="B26" t="s">
        <v>12</v>
      </c>
    </row>
    <row r="27" spans="1:4">
      <c r="A27" t="s">
        <v>36</v>
      </c>
      <c r="B27" t="s">
        <v>20</v>
      </c>
      <c r="C27" t="s">
        <v>17</v>
      </c>
      <c r="D27" t="s">
        <v>42</v>
      </c>
    </row>
    <row r="28" spans="1:4">
      <c r="A28" t="s">
        <v>44</v>
      </c>
      <c r="B28" s="4">
        <v>65</v>
      </c>
      <c r="C28" s="4">
        <v>50</v>
      </c>
      <c r="D28" s="4">
        <v>115</v>
      </c>
    </row>
    <row r="29" spans="1:4">
      <c r="A29" t="s">
        <v>45</v>
      </c>
      <c r="B29" s="4">
        <v>376</v>
      </c>
      <c r="C29" s="4">
        <v>361</v>
      </c>
      <c r="D29" s="4">
        <v>737</v>
      </c>
    </row>
    <row r="30" spans="1:4">
      <c r="A30" t="s">
        <v>46</v>
      </c>
      <c r="B30" s="4">
        <v>90</v>
      </c>
      <c r="C30" s="4">
        <v>84</v>
      </c>
      <c r="D30" s="4">
        <v>174</v>
      </c>
    </row>
    <row r="31" spans="1:4">
      <c r="A31" t="s">
        <v>42</v>
      </c>
      <c r="B31" s="4">
        <v>531</v>
      </c>
      <c r="C31" s="4">
        <v>495</v>
      </c>
      <c r="D31" s="4">
        <v>1026</v>
      </c>
    </row>
  </sheetData>
  <pageMargins left="0.75" right="0.75" top="1" bottom="1" header="0.5" footer="0.5"/>
  <headerFooter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showGridLines="0" tabSelected="1" workbookViewId="0">
      <selection activeCell="R9" sqref="R9"/>
    </sheetView>
  </sheetViews>
  <sheetFormatPr defaultColWidth="9.14285714285714" defaultRowHeight="15" outlineLevelRow="4"/>
  <sheetData>
    <row r="1" spans="1:15">
      <c r="A1" s="1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</sheetData>
  <mergeCells count="1">
    <mergeCell ref="A1:O4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 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2022-03-18T02:50:00Z</dcterms:created>
  <dcterms:modified xsi:type="dcterms:W3CDTF">2026-01-17T18:53:02Z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2F6D85778A294C23A0879725E93BB393_12</vt:lpwstr>
  </property>
</Properties>
</file>